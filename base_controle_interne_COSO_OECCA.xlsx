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Entreprises" sheetId="1" state="visible" r:id="rId3"/>
    <sheet name="Référentiel_COSO" sheetId="2" state="visible" r:id="rId4"/>
    <sheet name="Statistiques_Synthèse" sheetId="3" state="visible" r:id="rId5"/>
    <sheet name="Dictionnaire_Variab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<sst xmlns="http://schemas.openxmlformats.org/spreadsheetml/2006/main" count="693" uniqueCount="224">
  <si>
    <t xml:space="preserve">ID_Entreprise</t>
  </si>
  <si>
    <t xml:space="preserve">Secteur_Activité</t>
  </si>
  <si>
    <t xml:space="preserve">Taille_(Effectif)</t>
  </si>
  <si>
    <t xml:space="preserve">Chiffre_Affaires_MAD</t>
  </si>
  <si>
    <t xml:space="preserve">Région_Maroc</t>
  </si>
  <si>
    <t xml:space="preserve">Statut_Juridique</t>
  </si>
  <si>
    <t xml:space="preserve">Année_Création</t>
  </si>
  <si>
    <t xml:space="preserve">Cotée_Bourse</t>
  </si>
  <si>
    <t xml:space="preserve">COSO_Env_Contrôle</t>
  </si>
  <si>
    <t xml:space="preserve">COSO_Éval_Risques</t>
  </si>
  <si>
    <t xml:space="preserve">COSO_Act_Contrôle</t>
  </si>
  <si>
    <t xml:space="preserve">COSO_Info_Communication</t>
  </si>
  <si>
    <t xml:space="preserve">COSO_Supervision</t>
  </si>
  <si>
    <t xml:space="preserve">Score_COSO_Total</t>
  </si>
  <si>
    <t xml:space="preserve">COBIT_Maturité_SI</t>
  </si>
  <si>
    <t xml:space="preserve">COBIT_Alignement_Strat</t>
  </si>
  <si>
    <t xml:space="preserve">COBIT_Conformité</t>
  </si>
  <si>
    <t xml:space="preserve">Niveau_Maturité</t>
  </si>
  <si>
    <t xml:space="preserve">Classe_Maturité</t>
  </si>
  <si>
    <t xml:space="preserve">Fréquence_Audits_Interne</t>
  </si>
  <si>
    <t xml:space="preserve">Comité_Audit_Exist</t>
  </si>
  <si>
    <t xml:space="preserve">Séparation_Fonctions</t>
  </si>
  <si>
    <t xml:space="preserve">Manuel_Procédures</t>
  </si>
  <si>
    <t xml:space="preserve">Système_ERP</t>
  </si>
  <si>
    <t xml:space="preserve">Formation_Personnel_Ctrl</t>
  </si>
  <si>
    <t xml:space="preserve">Ratio_Frais_Contrôle_CA</t>
  </si>
  <si>
    <t xml:space="preserve">Nb_Auditeurs_Internes</t>
  </si>
  <si>
    <t xml:space="preserve">Taux_Anomalies_Détectées_%</t>
  </si>
  <si>
    <t xml:space="preserve">Délai_Clôture_Comptes_Jours</t>
  </si>
  <si>
    <t xml:space="preserve">Rotation_Personnel_Ctrl_%</t>
  </si>
  <si>
    <t xml:space="preserve">Source_Données</t>
  </si>
  <si>
    <t xml:space="preserve">ENT_001</t>
  </si>
  <si>
    <t xml:space="preserve">Banque &amp; Finance</t>
  </si>
  <si>
    <t xml:space="preserve">PME (10-199)</t>
  </si>
  <si>
    <t xml:space="preserve">Casablanca-Settat</t>
  </si>
  <si>
    <t xml:space="preserve">SA</t>
  </si>
  <si>
    <t xml:space="preserve">Non</t>
  </si>
  <si>
    <t xml:space="preserve">Répétable</t>
  </si>
  <si>
    <t xml:space="preserve">Trimestrielle</t>
  </si>
  <si>
    <t xml:space="preserve">Oui</t>
  </si>
  <si>
    <t xml:space="preserve">SAP</t>
  </si>
  <si>
    <t xml:space="preserve">OECCA Maroc – Dataset audit</t>
  </si>
  <si>
    <t xml:space="preserve">ENT_002</t>
  </si>
  <si>
    <t xml:space="preserve">Industrie manufacturière</t>
  </si>
  <si>
    <t xml:space="preserve">ETI (200-499)</t>
  </si>
  <si>
    <t xml:space="preserve">Rabat-Salé-Kénitra</t>
  </si>
  <si>
    <t xml:space="preserve">SARL</t>
  </si>
  <si>
    <t xml:space="preserve">Défini</t>
  </si>
  <si>
    <t xml:space="preserve">COSO Framework + Rapport AMF Maroc</t>
  </si>
  <si>
    <t xml:space="preserve">ENT_003</t>
  </si>
  <si>
    <t xml:space="preserve">Commerce &amp; Distribution</t>
  </si>
  <si>
    <t xml:space="preserve">Grande (≥500)</t>
  </si>
  <si>
    <t xml:space="preserve">Marrakech-Safi</t>
  </si>
  <si>
    <t xml:space="preserve">SAS</t>
  </si>
  <si>
    <t xml:space="preserve">Annuelle</t>
  </si>
  <si>
    <t xml:space="preserve">Enquête terrain OECCA Maroc</t>
  </si>
  <si>
    <t xml:space="preserve">ENT_004</t>
  </si>
  <si>
    <t xml:space="preserve">BTP &amp; Immobilier</t>
  </si>
  <si>
    <t xml:space="preserve">TPE (&lt;10)</t>
  </si>
  <si>
    <t xml:space="preserve">Fès-Meknès</t>
  </si>
  <si>
    <t xml:space="preserve">Établissement public</t>
  </si>
  <si>
    <t xml:space="preserve">Irrégulière</t>
  </si>
  <si>
    <t xml:space="preserve">Aucun</t>
  </si>
  <si>
    <t xml:space="preserve">COSO Framework / Enquête OECCA Maroc</t>
  </si>
  <si>
    <t xml:space="preserve">ENT_005</t>
  </si>
  <si>
    <t xml:space="preserve">Assurance</t>
  </si>
  <si>
    <t xml:space="preserve">Tanger-Tétouan-Al Hoceïma</t>
  </si>
  <si>
    <t xml:space="preserve">Coopérative</t>
  </si>
  <si>
    <t xml:space="preserve">Oracle ERP</t>
  </si>
  <si>
    <t xml:space="preserve">ENT_006</t>
  </si>
  <si>
    <t xml:space="preserve">Télécommunications</t>
  </si>
  <si>
    <t xml:space="preserve">Souss-Massa</t>
  </si>
  <si>
    <t xml:space="preserve">Solution locale</t>
  </si>
  <si>
    <t xml:space="preserve">ENT_007</t>
  </si>
  <si>
    <t xml:space="preserve">Agroalimentaire</t>
  </si>
  <si>
    <t xml:space="preserve">Oriental</t>
  </si>
  <si>
    <t xml:space="preserve">ENT_008</t>
  </si>
  <si>
    <t xml:space="preserve">Transport &amp; Logistique</t>
  </si>
  <si>
    <t xml:space="preserve">ENT_009</t>
  </si>
  <si>
    <t xml:space="preserve">Santé</t>
  </si>
  <si>
    <t xml:space="preserve">Sage</t>
  </si>
  <si>
    <t xml:space="preserve">ENT_010</t>
  </si>
  <si>
    <t xml:space="preserve">Énergie</t>
  </si>
  <si>
    <t xml:space="preserve">Initial</t>
  </si>
  <si>
    <t xml:space="preserve">Microsoft Dynamics</t>
  </si>
  <si>
    <t xml:space="preserve">ENT_011</t>
  </si>
  <si>
    <t xml:space="preserve">ENT_012</t>
  </si>
  <si>
    <t xml:space="preserve">ENT_013</t>
  </si>
  <si>
    <t xml:space="preserve">ENT_014</t>
  </si>
  <si>
    <t xml:space="preserve">ENT_015</t>
  </si>
  <si>
    <t xml:space="preserve">ENT_016</t>
  </si>
  <si>
    <t xml:space="preserve">Semestrielle</t>
  </si>
  <si>
    <t xml:space="preserve">ENT_017</t>
  </si>
  <si>
    <t xml:space="preserve">ENT_018</t>
  </si>
  <si>
    <t xml:space="preserve">ENT_019</t>
  </si>
  <si>
    <t xml:space="preserve">ENT_020</t>
  </si>
  <si>
    <t xml:space="preserve">ENT_021</t>
  </si>
  <si>
    <t xml:space="preserve">ENT_022</t>
  </si>
  <si>
    <t xml:space="preserve">ENT_023</t>
  </si>
  <si>
    <t xml:space="preserve">ENT_024</t>
  </si>
  <si>
    <t xml:space="preserve">ENT_025</t>
  </si>
  <si>
    <t xml:space="preserve">ENT_026</t>
  </si>
  <si>
    <t xml:space="preserve">Optimisé</t>
  </si>
  <si>
    <t xml:space="preserve">ENT_027</t>
  </si>
  <si>
    <t xml:space="preserve">ENT_028</t>
  </si>
  <si>
    <t xml:space="preserve">ENT_029</t>
  </si>
  <si>
    <t xml:space="preserve">ENT_030</t>
  </si>
  <si>
    <t xml:space="preserve">Composante COSO</t>
  </si>
  <si>
    <t xml:space="preserve">Niveau</t>
  </si>
  <si>
    <t xml:space="preserve">Description</t>
  </si>
  <si>
    <t xml:space="preserve">Exemples de contrôles</t>
  </si>
  <si>
    <t xml:space="preserve">Score attribué</t>
  </si>
  <si>
    <t xml:space="preserve">Environnement de contrôle</t>
  </si>
  <si>
    <t xml:space="preserve">Initial (1)</t>
  </si>
  <si>
    <t xml:space="preserve">Absence de culture de contrôle formalisée</t>
  </si>
  <si>
    <t xml:space="preserve">Pas de code de conduite, direction non impliquée</t>
  </si>
  <si>
    <t xml:space="preserve">Répétable (2)</t>
  </si>
  <si>
    <t xml:space="preserve">Sensibilisation partielle au contrôle interne</t>
  </si>
  <si>
    <t xml:space="preserve">Code de conduite existant, formation limitée</t>
  </si>
  <si>
    <t xml:space="preserve">Défini (3)</t>
  </si>
  <si>
    <t xml:space="preserve">Politiques formalisées et diffusées</t>
  </si>
  <si>
    <t xml:space="preserve">Manuel de contrôle interne, formations régulières</t>
  </si>
  <si>
    <t xml:space="preserve">Optimisé (4)</t>
  </si>
  <si>
    <t xml:space="preserve">Culture de contrôle ancrée et évaluée</t>
  </si>
  <si>
    <t xml:space="preserve">Indicateurs de culture, revue périodique par la direction</t>
  </si>
  <si>
    <t xml:space="preserve">Évaluation des risques</t>
  </si>
  <si>
    <t xml:space="preserve">Identification informelle et ad hoc</t>
  </si>
  <si>
    <t xml:space="preserve">Aucune cartographie des risques formelle</t>
  </si>
  <si>
    <t xml:space="preserve">Identification partielle des risques clés</t>
  </si>
  <si>
    <t xml:space="preserve">Liste des risques non mise à jour régulièrement</t>
  </si>
  <si>
    <t xml:space="preserve">Cartographie des risques structurée et périodique</t>
  </si>
  <si>
    <t xml:space="preserve">Risk register mis à jour annuellement, heat map</t>
  </si>
  <si>
    <t xml:space="preserve">Gestion dynamique et proactive des risques</t>
  </si>
  <si>
    <t xml:space="preserve">ERM intégré, stress tests, veille règlementaire</t>
  </si>
  <si>
    <t xml:space="preserve">Activités de contrôle</t>
  </si>
  <si>
    <t xml:space="preserve">Contrôles inexistants ou non documentés</t>
  </si>
  <si>
    <t xml:space="preserve">Validation informelle des transactions</t>
  </si>
  <si>
    <t xml:space="preserve">Contrôles clés identifiés, exécution variable</t>
  </si>
  <si>
    <t xml:space="preserve">Rapprochements bancaires, validations partielles</t>
  </si>
  <si>
    <t xml:space="preserve">Contrôles documentés et exécutés systématiquement</t>
  </si>
  <si>
    <t xml:space="preserve">Séparation des tâches, contrôles automatisés ERP</t>
  </si>
  <si>
    <t xml:space="preserve">Contrôles continus, automatisés et surveillés</t>
  </si>
  <si>
    <t xml:space="preserve">Tests automatisés, audits continus via outils CAATT</t>
  </si>
  <si>
    <t xml:space="preserve">Information &amp; Communication</t>
  </si>
  <si>
    <t xml:space="preserve">Flux d'information non structurés</t>
  </si>
  <si>
    <t xml:space="preserve">Reporting verbal, absence de tableau de bord</t>
  </si>
  <si>
    <t xml:space="preserve">Reporting financier basique</t>
  </si>
  <si>
    <t xml:space="preserve">États financiers périodiques sans analyse</t>
  </si>
  <si>
    <t xml:space="preserve">Système d'information structuré et partagé</t>
  </si>
  <si>
    <t xml:space="preserve">Tableaux de bord, rapports d'audit communiqués</t>
  </si>
  <si>
    <t xml:space="preserve">Communication intégrée et transparente</t>
  </si>
  <si>
    <t xml:space="preserve">Dashboards temps réel, reporting au comité d'audit</t>
  </si>
  <si>
    <t xml:space="preserve">Supervision / Pilotage</t>
  </si>
  <si>
    <t xml:space="preserve">Aucun suivi des recommandations d'audit</t>
  </si>
  <si>
    <t xml:space="preserve">Absence de comité d'audit ou de suivi</t>
  </si>
  <si>
    <t xml:space="preserve">Suivi partiel et réactif</t>
  </si>
  <si>
    <t xml:space="preserve">Revue des audits sur demande</t>
  </si>
  <si>
    <t xml:space="preserve">Revue périodique formalisée</t>
  </si>
  <si>
    <t xml:space="preserve">Comité d'audit actif, suivi des recommandations</t>
  </si>
  <si>
    <t xml:space="preserve">Amélioration continue pilotée</t>
  </si>
  <si>
    <t xml:space="preserve">Benchmarking, KPI de contrôle, revue de la direction</t>
  </si>
  <si>
    <t xml:space="preserve">Niveau de Maturité</t>
  </si>
  <si>
    <t xml:space="preserve">Classe</t>
  </si>
  <si>
    <t xml:space="preserve">Nb Entreprises</t>
  </si>
  <si>
    <t xml:space="preserve">% du Portefeuille</t>
  </si>
  <si>
    <t xml:space="preserve">Score COSO Moyen</t>
  </si>
  <si>
    <t xml:space="preserve">Taux Anomalies Moyen (%)</t>
  </si>
  <si>
    <t xml:space="preserve">Délai Clôture Moyen (j)</t>
  </si>
  <si>
    <t xml:space="preserve">TOTAL</t>
  </si>
  <si>
    <t xml:space="preserve">Sources :</t>
  </si>
  <si>
    <t xml:space="preserve">• COSO Framework (Committee of Sponsoring Organizations of the Treadway Commission)</t>
  </si>
  <si>
    <t xml:space="preserve">• COBIT (Control Objectives for Information and Related Technology – ISACA)</t>
  </si>
  <si>
    <t xml:space="preserve">• OECCA Maroc – Ordre des Experts-Comptables et Comptables Agréés du Maroc</t>
  </si>
  <si>
    <t xml:space="preserve">• Variable cible : Niveau de maturité (Initial / Répétable / Défini / Optimisé)</t>
  </si>
  <si>
    <t xml:space="preserve">Variable</t>
  </si>
  <si>
    <t xml:space="preserve">Type</t>
  </si>
  <si>
    <t xml:space="preserve">Modalités / Plage</t>
  </si>
  <si>
    <t xml:space="preserve">Source</t>
  </si>
  <si>
    <t xml:space="preserve">Rôle ML</t>
  </si>
  <si>
    <t xml:space="preserve">Identifiant</t>
  </si>
  <si>
    <t xml:space="preserve">ENT_001 à ENT_030</t>
  </si>
  <si>
    <t xml:space="preserve">Interne</t>
  </si>
  <si>
    <t xml:space="preserve">Clé primaire</t>
  </si>
  <si>
    <t xml:space="preserve">Catégorielle</t>
  </si>
  <si>
    <t xml:space="preserve">10 secteurs économiques</t>
  </si>
  <si>
    <t xml:space="preserve">OECCA Maroc</t>
  </si>
  <si>
    <t xml:space="preserve">Feature</t>
  </si>
  <si>
    <t xml:space="preserve">Catégorielle ordinale</t>
  </si>
  <si>
    <t xml:space="preserve">TPE / PME / ETI / Grande</t>
  </si>
  <si>
    <t xml:space="preserve">Numérique continu</t>
  </si>
  <si>
    <t xml:space="preserve">≥ 0 MAD</t>
  </si>
  <si>
    <t xml:space="preserve">Enquête terrain</t>
  </si>
  <si>
    <t xml:space="preserve">7 régions du Maroc</t>
  </si>
  <si>
    <t xml:space="preserve">Numérique ordinal</t>
  </si>
  <si>
    <t xml:space="preserve">1 (Initial) à 4 (Optimisé)</t>
  </si>
  <si>
    <t xml:space="preserve">COSO Framework</t>
  </si>
  <si>
    <t xml:space="preserve">1 à 4</t>
  </si>
  <si>
    <t xml:space="preserve">Numérique discret</t>
  </si>
  <si>
    <t xml:space="preserve">5 à 20</t>
  </si>
  <si>
    <t xml:space="preserve">Calculé (COSO)</t>
  </si>
  <si>
    <t xml:space="preserve">Feature dérivée</t>
  </si>
  <si>
    <t xml:space="preserve">COBIT / ISACA</t>
  </si>
  <si>
    <t xml:space="preserve">1=Initial, 2=Répétable, 3=Défini, 4=Optimisé</t>
  </si>
  <si>
    <t xml:space="preserve">COSO + OECCA</t>
  </si>
  <si>
    <t xml:space="preserve">Variable cible (y)</t>
  </si>
  <si>
    <t xml:space="preserve">Initial / Répétable / Défini / Optimisé</t>
  </si>
  <si>
    <t xml:space="preserve">Variable cible (label)</t>
  </si>
  <si>
    <t xml:space="preserve">Trimestrielle / Semestrielle / Annuelle / Irrégulière</t>
  </si>
  <si>
    <t xml:space="preserve">Enquête OECCA</t>
  </si>
  <si>
    <t xml:space="preserve">Feature qualitative</t>
  </si>
  <si>
    <t xml:space="preserve">Binaire</t>
  </si>
  <si>
    <t xml:space="preserve">Oui / Non</t>
  </si>
  <si>
    <t xml:space="preserve">COSO + Enquête</t>
  </si>
  <si>
    <t xml:space="preserve">SAP / Oracle / MS Dynamics / Sage / Local / Aucun</t>
  </si>
  <si>
    <t xml:space="preserve">0.5% à 4.5%</t>
  </si>
  <si>
    <t xml:space="preserve">Données financières</t>
  </si>
  <si>
    <t xml:space="preserve">Feature quantitative</t>
  </si>
  <si>
    <t xml:space="preserve">0 à 8+</t>
  </si>
  <si>
    <t xml:space="preserve">1% à 25%</t>
  </si>
  <si>
    <t xml:space="preserve">Rapports d'audit</t>
  </si>
  <si>
    <t xml:space="preserve">5 à 45 jours</t>
  </si>
  <si>
    <t xml:space="preserve">Données comptables</t>
  </si>
  <si>
    <t xml:space="preserve">5% à 40%</t>
  </si>
  <si>
    <t xml:space="preserve">DRH / Enquête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</si>
</sst>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5F5F5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FFCC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1" min="9" style="0" width="18"/>
    <col collapsed="false" customWidth="true" hidden="false" outlineLevel="0" max="12" min="12" style="0" width="22"/>
    <col collapsed="false" customWidth="true" hidden="false" outlineLevel="0" max="14" min="13" style="0" width="16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7" min="17" style="0" width="16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3" min="21" style="0" width="20"/>
    <col collapsed="false" customWidth="true" hidden="false" outlineLevel="0" max="24" min="24" style="0" width="14"/>
    <col collapsed="false" customWidth="true" hidden="false" outlineLevel="0" max="25" min="25" style="0" width="24"/>
    <col collapsed="false" customWidth="true" hidden="false" outlineLevel="0" max="27" min="26" style="0" width="22"/>
    <col collapsed="false" customWidth="true" hidden="false" outlineLevel="0" max="28" min="28" style="0" width="24"/>
    <col collapsed="false" customWidth="true" hidden="false" outlineLevel="0" max="29" min="29" style="0" width="26"/>
    <col collapsed="false" customWidth="true" hidden="false" outlineLevel="0" max="30" min="30" style="0" width="22"/>
    <col collapsed="false" customWidth="true" hidden="false" outlineLevel="0" max="31" min="31" style="0" width="28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9.5" hidden="false" customHeight="true" outlineLevel="0" collapsed="false">
      <c r="A2" s="2" t="s">
        <v>31</v>
      </c>
      <c r="B2" s="3" t="s">
        <v>32</v>
      </c>
      <c r="C2" s="2" t="s">
        <v>33</v>
      </c>
      <c r="D2" s="2" t="n">
        <v>332000000</v>
      </c>
      <c r="E2" s="2" t="s">
        <v>34</v>
      </c>
      <c r="F2" s="2" t="s">
        <v>35</v>
      </c>
      <c r="G2" s="2" t="n">
        <v>1987</v>
      </c>
      <c r="H2" s="2" t="s">
        <v>36</v>
      </c>
      <c r="I2" s="2" t="n">
        <v>1</v>
      </c>
      <c r="J2" s="2" t="n">
        <v>3</v>
      </c>
      <c r="K2" s="2" t="n">
        <v>2</v>
      </c>
      <c r="L2" s="2" t="n">
        <v>2</v>
      </c>
      <c r="M2" s="2" t="n">
        <v>2</v>
      </c>
      <c r="N2" s="2" t="n">
        <v>10</v>
      </c>
      <c r="O2" s="2" t="n">
        <v>1</v>
      </c>
      <c r="P2" s="2" t="n">
        <v>1</v>
      </c>
      <c r="Q2" s="2" t="n">
        <v>4</v>
      </c>
      <c r="R2" s="2" t="n">
        <v>2</v>
      </c>
      <c r="S2" s="4" t="s">
        <v>37</v>
      </c>
      <c r="T2" s="2" t="s">
        <v>38</v>
      </c>
      <c r="U2" s="2" t="s">
        <v>39</v>
      </c>
      <c r="V2" s="2" t="s">
        <v>39</v>
      </c>
      <c r="W2" s="2" t="s">
        <v>39</v>
      </c>
      <c r="X2" s="2" t="s">
        <v>40</v>
      </c>
      <c r="Y2" s="2" t="s">
        <v>39</v>
      </c>
      <c r="Z2" s="2" t="n">
        <v>1.43</v>
      </c>
      <c r="AA2" s="2" t="n">
        <v>0</v>
      </c>
      <c r="AB2" s="2" t="n">
        <v>14.5</v>
      </c>
      <c r="AC2" s="2" t="n">
        <v>39</v>
      </c>
      <c r="AD2" s="2" t="n">
        <v>19.7</v>
      </c>
      <c r="AE2" s="2" t="s">
        <v>41</v>
      </c>
    </row>
    <row r="3" customFormat="false" ht="19.5" hidden="false" customHeight="true" outlineLevel="0" collapsed="false">
      <c r="A3" s="5" t="s">
        <v>42</v>
      </c>
      <c r="B3" s="6" t="s">
        <v>43</v>
      </c>
      <c r="C3" s="5" t="s">
        <v>44</v>
      </c>
      <c r="D3" s="5" t="n">
        <v>234000000</v>
      </c>
      <c r="E3" s="5" t="s">
        <v>45</v>
      </c>
      <c r="F3" s="5" t="s">
        <v>46</v>
      </c>
      <c r="G3" s="5" t="n">
        <v>1997</v>
      </c>
      <c r="H3" s="5" t="s">
        <v>36</v>
      </c>
      <c r="I3" s="5" t="n">
        <v>1</v>
      </c>
      <c r="J3" s="5" t="n">
        <v>2</v>
      </c>
      <c r="K3" s="5" t="n">
        <v>4</v>
      </c>
      <c r="L3" s="5" t="n">
        <v>3</v>
      </c>
      <c r="M3" s="5" t="n">
        <v>3</v>
      </c>
      <c r="N3" s="5" t="n">
        <v>13</v>
      </c>
      <c r="O3" s="5" t="n">
        <v>2</v>
      </c>
      <c r="P3" s="5" t="n">
        <v>2</v>
      </c>
      <c r="Q3" s="5" t="n">
        <v>3</v>
      </c>
      <c r="R3" s="5" t="n">
        <v>3</v>
      </c>
      <c r="S3" s="7" t="s">
        <v>47</v>
      </c>
      <c r="T3" s="5" t="s">
        <v>38</v>
      </c>
      <c r="U3" s="5" t="s">
        <v>39</v>
      </c>
      <c r="V3" s="5" t="s">
        <v>39</v>
      </c>
      <c r="W3" s="5" t="s">
        <v>39</v>
      </c>
      <c r="X3" s="5" t="s">
        <v>40</v>
      </c>
      <c r="Y3" s="5" t="s">
        <v>36</v>
      </c>
      <c r="Z3" s="5" t="n">
        <v>0.89</v>
      </c>
      <c r="AA3" s="5" t="n">
        <v>5</v>
      </c>
      <c r="AB3" s="5" t="n">
        <v>15.5</v>
      </c>
      <c r="AC3" s="5" t="n">
        <v>7</v>
      </c>
      <c r="AD3" s="5" t="n">
        <v>30.5</v>
      </c>
      <c r="AE3" s="5" t="s">
        <v>48</v>
      </c>
    </row>
    <row r="4" customFormat="false" ht="19.5" hidden="false" customHeight="true" outlineLevel="0" collapsed="false">
      <c r="A4" s="2" t="s">
        <v>49</v>
      </c>
      <c r="B4" s="3" t="s">
        <v>50</v>
      </c>
      <c r="C4" s="2" t="s">
        <v>51</v>
      </c>
      <c r="D4" s="2" t="n">
        <v>279000000</v>
      </c>
      <c r="E4" s="2" t="s">
        <v>52</v>
      </c>
      <c r="F4" s="2" t="s">
        <v>53</v>
      </c>
      <c r="G4" s="2" t="n">
        <v>1987</v>
      </c>
      <c r="H4" s="2" t="s">
        <v>36</v>
      </c>
      <c r="I4" s="2" t="n">
        <v>4</v>
      </c>
      <c r="J4" s="2" t="n">
        <v>1</v>
      </c>
      <c r="K4" s="2" t="n">
        <v>3</v>
      </c>
      <c r="L4" s="2" t="n">
        <v>3</v>
      </c>
      <c r="M4" s="2" t="n">
        <v>2</v>
      </c>
      <c r="N4" s="2" t="n">
        <v>13</v>
      </c>
      <c r="O4" s="2" t="n">
        <v>1</v>
      </c>
      <c r="P4" s="2" t="n">
        <v>1</v>
      </c>
      <c r="Q4" s="2" t="n">
        <v>2</v>
      </c>
      <c r="R4" s="2" t="n">
        <v>3</v>
      </c>
      <c r="S4" s="7" t="s">
        <v>47</v>
      </c>
      <c r="T4" s="2" t="s">
        <v>54</v>
      </c>
      <c r="U4" s="2" t="s">
        <v>39</v>
      </c>
      <c r="V4" s="2" t="s">
        <v>39</v>
      </c>
      <c r="W4" s="2" t="s">
        <v>39</v>
      </c>
      <c r="X4" s="2" t="s">
        <v>40</v>
      </c>
      <c r="Y4" s="2" t="s">
        <v>39</v>
      </c>
      <c r="Z4" s="2" t="n">
        <v>3.97</v>
      </c>
      <c r="AA4" s="2" t="n">
        <v>6</v>
      </c>
      <c r="AB4" s="2" t="n">
        <v>7.7</v>
      </c>
      <c r="AC4" s="2" t="n">
        <v>45</v>
      </c>
      <c r="AD4" s="2" t="n">
        <v>34.2</v>
      </c>
      <c r="AE4" s="2" t="s">
        <v>55</v>
      </c>
    </row>
    <row r="5" customFormat="false" ht="19.5" hidden="false" customHeight="true" outlineLevel="0" collapsed="false">
      <c r="A5" s="5" t="s">
        <v>56</v>
      </c>
      <c r="B5" s="6" t="s">
        <v>57</v>
      </c>
      <c r="C5" s="5" t="s">
        <v>58</v>
      </c>
      <c r="D5" s="5" t="n">
        <v>88000000</v>
      </c>
      <c r="E5" s="5" t="s">
        <v>59</v>
      </c>
      <c r="F5" s="5" t="s">
        <v>60</v>
      </c>
      <c r="G5" s="5" t="n">
        <v>2003</v>
      </c>
      <c r="H5" s="5" t="s">
        <v>36</v>
      </c>
      <c r="I5" s="5" t="n">
        <v>3</v>
      </c>
      <c r="J5" s="5" t="n">
        <v>2</v>
      </c>
      <c r="K5" s="5" t="n">
        <v>3</v>
      </c>
      <c r="L5" s="5" t="n">
        <v>1</v>
      </c>
      <c r="M5" s="5" t="n">
        <v>2</v>
      </c>
      <c r="N5" s="5" t="n">
        <v>11</v>
      </c>
      <c r="O5" s="5" t="n">
        <v>2</v>
      </c>
      <c r="P5" s="5" t="n">
        <v>2</v>
      </c>
      <c r="Q5" s="5" t="n">
        <v>4</v>
      </c>
      <c r="R5" s="5" t="n">
        <v>2</v>
      </c>
      <c r="S5" s="4" t="s">
        <v>37</v>
      </c>
      <c r="T5" s="5" t="s">
        <v>61</v>
      </c>
      <c r="U5" s="5" t="s">
        <v>36</v>
      </c>
      <c r="V5" s="5" t="s">
        <v>39</v>
      </c>
      <c r="W5" s="5" t="s">
        <v>39</v>
      </c>
      <c r="X5" s="5" t="s">
        <v>62</v>
      </c>
      <c r="Y5" s="5" t="s">
        <v>39</v>
      </c>
      <c r="Z5" s="5" t="n">
        <v>3.24</v>
      </c>
      <c r="AA5" s="5" t="n">
        <v>0</v>
      </c>
      <c r="AB5" s="5" t="n">
        <v>6.5</v>
      </c>
      <c r="AC5" s="5" t="n">
        <v>7</v>
      </c>
      <c r="AD5" s="5" t="n">
        <v>33.2</v>
      </c>
      <c r="AE5" s="5" t="s">
        <v>63</v>
      </c>
    </row>
    <row r="6" customFormat="false" ht="19.5" hidden="false" customHeight="true" outlineLevel="0" collapsed="false">
      <c r="A6" s="2" t="s">
        <v>64</v>
      </c>
      <c r="B6" s="3" t="s">
        <v>65</v>
      </c>
      <c r="C6" s="2" t="s">
        <v>33</v>
      </c>
      <c r="D6" s="2" t="n">
        <v>210000000</v>
      </c>
      <c r="E6" s="2" t="s">
        <v>66</v>
      </c>
      <c r="F6" s="2" t="s">
        <v>67</v>
      </c>
      <c r="G6" s="2" t="n">
        <v>1997</v>
      </c>
      <c r="H6" s="2" t="s">
        <v>39</v>
      </c>
      <c r="I6" s="2" t="n">
        <v>1</v>
      </c>
      <c r="J6" s="2" t="n">
        <v>2</v>
      </c>
      <c r="K6" s="2" t="n">
        <v>3</v>
      </c>
      <c r="L6" s="2" t="n">
        <v>2</v>
      </c>
      <c r="M6" s="2" t="n">
        <v>4</v>
      </c>
      <c r="N6" s="2" t="n">
        <v>12</v>
      </c>
      <c r="O6" s="2" t="n">
        <v>4</v>
      </c>
      <c r="P6" s="2" t="n">
        <v>4</v>
      </c>
      <c r="Q6" s="2" t="n">
        <v>2</v>
      </c>
      <c r="R6" s="2" t="n">
        <v>2</v>
      </c>
      <c r="S6" s="4" t="s">
        <v>37</v>
      </c>
      <c r="T6" s="2" t="s">
        <v>54</v>
      </c>
      <c r="U6" s="2" t="s">
        <v>39</v>
      </c>
      <c r="V6" s="2" t="s">
        <v>39</v>
      </c>
      <c r="W6" s="2" t="s">
        <v>39</v>
      </c>
      <c r="X6" s="2" t="s">
        <v>68</v>
      </c>
      <c r="Y6" s="2" t="s">
        <v>36</v>
      </c>
      <c r="Z6" s="2" t="n">
        <v>3.49</v>
      </c>
      <c r="AA6" s="2" t="n">
        <v>6</v>
      </c>
      <c r="AB6" s="2" t="n">
        <v>22.5</v>
      </c>
      <c r="AC6" s="2" t="n">
        <v>30</v>
      </c>
      <c r="AD6" s="2" t="n">
        <v>17.7</v>
      </c>
      <c r="AE6" s="2" t="s">
        <v>41</v>
      </c>
    </row>
    <row r="7" customFormat="false" ht="19.5" hidden="false" customHeight="true" outlineLevel="0" collapsed="false">
      <c r="A7" s="5" t="s">
        <v>69</v>
      </c>
      <c r="B7" s="6" t="s">
        <v>70</v>
      </c>
      <c r="C7" s="5" t="s">
        <v>44</v>
      </c>
      <c r="D7" s="5" t="n">
        <v>75000000</v>
      </c>
      <c r="E7" s="5" t="s">
        <v>71</v>
      </c>
      <c r="F7" s="5" t="s">
        <v>35</v>
      </c>
      <c r="G7" s="5" t="n">
        <v>2012</v>
      </c>
      <c r="H7" s="5" t="s">
        <v>36</v>
      </c>
      <c r="I7" s="5" t="n">
        <v>4</v>
      </c>
      <c r="J7" s="5" t="n">
        <v>1</v>
      </c>
      <c r="K7" s="5" t="n">
        <v>1</v>
      </c>
      <c r="L7" s="5" t="n">
        <v>1</v>
      </c>
      <c r="M7" s="5" t="n">
        <v>2</v>
      </c>
      <c r="N7" s="5" t="n">
        <v>9</v>
      </c>
      <c r="O7" s="5" t="n">
        <v>2</v>
      </c>
      <c r="P7" s="5" t="n">
        <v>4</v>
      </c>
      <c r="Q7" s="5" t="n">
        <v>1</v>
      </c>
      <c r="R7" s="5" t="n">
        <v>2</v>
      </c>
      <c r="S7" s="4" t="s">
        <v>37</v>
      </c>
      <c r="T7" s="5" t="s">
        <v>61</v>
      </c>
      <c r="U7" s="5" t="s">
        <v>36</v>
      </c>
      <c r="V7" s="5" t="s">
        <v>39</v>
      </c>
      <c r="W7" s="5" t="s">
        <v>39</v>
      </c>
      <c r="X7" s="5" t="s">
        <v>72</v>
      </c>
      <c r="Y7" s="5" t="s">
        <v>36</v>
      </c>
      <c r="Z7" s="5" t="n">
        <v>2.62</v>
      </c>
      <c r="AA7" s="5" t="n">
        <v>8</v>
      </c>
      <c r="AB7" s="5" t="n">
        <v>21.7</v>
      </c>
      <c r="AC7" s="5" t="n">
        <v>5</v>
      </c>
      <c r="AD7" s="5" t="n">
        <v>28.8</v>
      </c>
      <c r="AE7" s="5" t="s">
        <v>48</v>
      </c>
    </row>
    <row r="8" customFormat="false" ht="19.5" hidden="false" customHeight="true" outlineLevel="0" collapsed="false">
      <c r="A8" s="2" t="s">
        <v>73</v>
      </c>
      <c r="B8" s="3" t="s">
        <v>74</v>
      </c>
      <c r="C8" s="2" t="s">
        <v>51</v>
      </c>
      <c r="D8" s="2" t="n">
        <v>63000000</v>
      </c>
      <c r="E8" s="2" t="s">
        <v>75</v>
      </c>
      <c r="F8" s="2" t="s">
        <v>46</v>
      </c>
      <c r="G8" s="2" t="n">
        <v>2014</v>
      </c>
      <c r="H8" s="2" t="s">
        <v>36</v>
      </c>
      <c r="I8" s="2" t="n">
        <v>3</v>
      </c>
      <c r="J8" s="2" t="n">
        <v>3</v>
      </c>
      <c r="K8" s="2" t="n">
        <v>1</v>
      </c>
      <c r="L8" s="2" t="n">
        <v>3</v>
      </c>
      <c r="M8" s="2" t="n">
        <v>4</v>
      </c>
      <c r="N8" s="2" t="n">
        <v>14</v>
      </c>
      <c r="O8" s="2" t="n">
        <v>2</v>
      </c>
      <c r="P8" s="2" t="n">
        <v>4</v>
      </c>
      <c r="Q8" s="2" t="n">
        <v>1</v>
      </c>
      <c r="R8" s="2" t="n">
        <v>3</v>
      </c>
      <c r="S8" s="7" t="s">
        <v>47</v>
      </c>
      <c r="T8" s="2" t="s">
        <v>54</v>
      </c>
      <c r="U8" s="2" t="s">
        <v>39</v>
      </c>
      <c r="V8" s="2" t="s">
        <v>39</v>
      </c>
      <c r="W8" s="2" t="s">
        <v>39</v>
      </c>
      <c r="X8" s="2" t="s">
        <v>72</v>
      </c>
      <c r="Y8" s="2" t="s">
        <v>39</v>
      </c>
      <c r="Z8" s="2" t="n">
        <v>2.53</v>
      </c>
      <c r="AA8" s="2" t="n">
        <v>1</v>
      </c>
      <c r="AB8" s="2" t="n">
        <v>21.9</v>
      </c>
      <c r="AC8" s="2" t="n">
        <v>24</v>
      </c>
      <c r="AD8" s="2" t="n">
        <v>34.5</v>
      </c>
      <c r="AE8" s="2" t="s">
        <v>55</v>
      </c>
    </row>
    <row r="9" customFormat="false" ht="19.5" hidden="false" customHeight="true" outlineLevel="0" collapsed="false">
      <c r="A9" s="5" t="s">
        <v>76</v>
      </c>
      <c r="B9" s="6" t="s">
        <v>77</v>
      </c>
      <c r="C9" s="5" t="s">
        <v>58</v>
      </c>
      <c r="D9" s="5" t="n">
        <v>264000000</v>
      </c>
      <c r="E9" s="5" t="s">
        <v>34</v>
      </c>
      <c r="F9" s="5" t="s">
        <v>53</v>
      </c>
      <c r="G9" s="5" t="n">
        <v>1992</v>
      </c>
      <c r="H9" s="5" t="s">
        <v>36</v>
      </c>
      <c r="I9" s="5" t="n">
        <v>2</v>
      </c>
      <c r="J9" s="5" t="n">
        <v>3</v>
      </c>
      <c r="K9" s="5" t="n">
        <v>2</v>
      </c>
      <c r="L9" s="5" t="n">
        <v>1</v>
      </c>
      <c r="M9" s="5" t="n">
        <v>3</v>
      </c>
      <c r="N9" s="5" t="n">
        <v>11</v>
      </c>
      <c r="O9" s="5" t="n">
        <v>4</v>
      </c>
      <c r="P9" s="5" t="n">
        <v>1</v>
      </c>
      <c r="Q9" s="5" t="n">
        <v>1</v>
      </c>
      <c r="R9" s="5" t="n">
        <v>2</v>
      </c>
      <c r="S9" s="4" t="s">
        <v>37</v>
      </c>
      <c r="T9" s="5" t="s">
        <v>54</v>
      </c>
      <c r="U9" s="5" t="s">
        <v>36</v>
      </c>
      <c r="V9" s="5" t="s">
        <v>39</v>
      </c>
      <c r="W9" s="5" t="s">
        <v>39</v>
      </c>
      <c r="X9" s="5" t="s">
        <v>68</v>
      </c>
      <c r="Y9" s="5" t="s">
        <v>39</v>
      </c>
      <c r="Z9" s="5" t="n">
        <v>1.46</v>
      </c>
      <c r="AA9" s="5" t="n">
        <v>1</v>
      </c>
      <c r="AB9" s="5" t="n">
        <v>3.1</v>
      </c>
      <c r="AC9" s="5" t="n">
        <v>36</v>
      </c>
      <c r="AD9" s="5" t="n">
        <v>33.6</v>
      </c>
      <c r="AE9" s="5" t="s">
        <v>63</v>
      </c>
    </row>
    <row r="10" customFormat="false" ht="19.5" hidden="false" customHeight="true" outlineLevel="0" collapsed="false">
      <c r="A10" s="2" t="s">
        <v>78</v>
      </c>
      <c r="B10" s="3" t="s">
        <v>79</v>
      </c>
      <c r="C10" s="2" t="s">
        <v>33</v>
      </c>
      <c r="D10" s="2" t="n">
        <v>394000000</v>
      </c>
      <c r="E10" s="2" t="s">
        <v>45</v>
      </c>
      <c r="F10" s="2" t="s">
        <v>60</v>
      </c>
      <c r="G10" s="2" t="n">
        <v>2014</v>
      </c>
      <c r="H10" s="2" t="s">
        <v>36</v>
      </c>
      <c r="I10" s="2" t="n">
        <v>2</v>
      </c>
      <c r="J10" s="2" t="n">
        <v>2</v>
      </c>
      <c r="K10" s="2" t="n">
        <v>4</v>
      </c>
      <c r="L10" s="2" t="n">
        <v>2</v>
      </c>
      <c r="M10" s="2" t="n">
        <v>3</v>
      </c>
      <c r="N10" s="2" t="n">
        <v>13</v>
      </c>
      <c r="O10" s="2" t="n">
        <v>4</v>
      </c>
      <c r="P10" s="2" t="n">
        <v>2</v>
      </c>
      <c r="Q10" s="2" t="n">
        <v>2</v>
      </c>
      <c r="R10" s="2" t="n">
        <v>3</v>
      </c>
      <c r="S10" s="7" t="s">
        <v>47</v>
      </c>
      <c r="T10" s="2" t="s">
        <v>54</v>
      </c>
      <c r="U10" s="2" t="s">
        <v>39</v>
      </c>
      <c r="V10" s="2" t="s">
        <v>39</v>
      </c>
      <c r="W10" s="2" t="s">
        <v>39</v>
      </c>
      <c r="X10" s="2" t="s">
        <v>80</v>
      </c>
      <c r="Y10" s="2" t="s">
        <v>36</v>
      </c>
      <c r="Z10" s="2" t="n">
        <v>2.25</v>
      </c>
      <c r="AA10" s="2" t="n">
        <v>8</v>
      </c>
      <c r="AB10" s="2" t="n">
        <v>11.8</v>
      </c>
      <c r="AC10" s="2" t="n">
        <v>20</v>
      </c>
      <c r="AD10" s="2" t="n">
        <v>12.9</v>
      </c>
      <c r="AE10" s="2" t="s">
        <v>41</v>
      </c>
    </row>
    <row r="11" customFormat="false" ht="19.5" hidden="false" customHeight="true" outlineLevel="0" collapsed="false">
      <c r="A11" s="5" t="s">
        <v>81</v>
      </c>
      <c r="B11" s="6" t="s">
        <v>82</v>
      </c>
      <c r="C11" s="5" t="s">
        <v>44</v>
      </c>
      <c r="D11" s="5" t="n">
        <v>178000000</v>
      </c>
      <c r="E11" s="5" t="s">
        <v>52</v>
      </c>
      <c r="F11" s="5" t="s">
        <v>67</v>
      </c>
      <c r="G11" s="5" t="n">
        <v>1981</v>
      </c>
      <c r="H11" s="5" t="s">
        <v>39</v>
      </c>
      <c r="I11" s="5" t="n">
        <v>2</v>
      </c>
      <c r="J11" s="5" t="n">
        <v>2</v>
      </c>
      <c r="K11" s="5" t="n">
        <v>1</v>
      </c>
      <c r="L11" s="5" t="n">
        <v>1</v>
      </c>
      <c r="M11" s="5" t="n">
        <v>1</v>
      </c>
      <c r="N11" s="5" t="n">
        <v>7</v>
      </c>
      <c r="O11" s="5" t="n">
        <v>2</v>
      </c>
      <c r="P11" s="5" t="n">
        <v>1</v>
      </c>
      <c r="Q11" s="5" t="n">
        <v>1</v>
      </c>
      <c r="R11" s="5" t="n">
        <v>1</v>
      </c>
      <c r="S11" s="8" t="s">
        <v>83</v>
      </c>
      <c r="T11" s="5" t="s">
        <v>54</v>
      </c>
      <c r="U11" s="5" t="s">
        <v>39</v>
      </c>
      <c r="V11" s="5" t="s">
        <v>39</v>
      </c>
      <c r="W11" s="5" t="s">
        <v>36</v>
      </c>
      <c r="X11" s="5" t="s">
        <v>84</v>
      </c>
      <c r="Y11" s="5" t="s">
        <v>36</v>
      </c>
      <c r="Z11" s="5" t="n">
        <v>1.36</v>
      </c>
      <c r="AA11" s="5" t="n">
        <v>2</v>
      </c>
      <c r="AB11" s="5" t="n">
        <v>18.4</v>
      </c>
      <c r="AC11" s="5" t="n">
        <v>41</v>
      </c>
      <c r="AD11" s="5" t="n">
        <v>25.2</v>
      </c>
      <c r="AE11" s="5" t="s">
        <v>48</v>
      </c>
    </row>
    <row r="12" customFormat="false" ht="19.5" hidden="false" customHeight="true" outlineLevel="0" collapsed="false">
      <c r="A12" s="2" t="s">
        <v>85</v>
      </c>
      <c r="B12" s="3" t="s">
        <v>32</v>
      </c>
      <c r="C12" s="2" t="s">
        <v>51</v>
      </c>
      <c r="D12" s="2" t="n">
        <v>129000000</v>
      </c>
      <c r="E12" s="2" t="s">
        <v>59</v>
      </c>
      <c r="F12" s="2" t="s">
        <v>35</v>
      </c>
      <c r="G12" s="2" t="n">
        <v>2010</v>
      </c>
      <c r="H12" s="2" t="s">
        <v>36</v>
      </c>
      <c r="I12" s="2" t="n">
        <v>4</v>
      </c>
      <c r="J12" s="2" t="n">
        <v>2</v>
      </c>
      <c r="K12" s="2" t="n">
        <v>1</v>
      </c>
      <c r="L12" s="2" t="n">
        <v>1</v>
      </c>
      <c r="M12" s="2" t="n">
        <v>4</v>
      </c>
      <c r="N12" s="2" t="n">
        <v>12</v>
      </c>
      <c r="O12" s="2" t="n">
        <v>3</v>
      </c>
      <c r="P12" s="2" t="n">
        <v>4</v>
      </c>
      <c r="Q12" s="2" t="n">
        <v>4</v>
      </c>
      <c r="R12" s="2" t="n">
        <v>2</v>
      </c>
      <c r="S12" s="4" t="s">
        <v>37</v>
      </c>
      <c r="T12" s="2" t="s">
        <v>61</v>
      </c>
      <c r="U12" s="2" t="s">
        <v>39</v>
      </c>
      <c r="V12" s="2" t="s">
        <v>39</v>
      </c>
      <c r="W12" s="2" t="s">
        <v>39</v>
      </c>
      <c r="X12" s="2" t="s">
        <v>62</v>
      </c>
      <c r="Y12" s="2" t="s">
        <v>39</v>
      </c>
      <c r="Z12" s="2" t="n">
        <v>0.74</v>
      </c>
      <c r="AA12" s="2" t="n">
        <v>5</v>
      </c>
      <c r="AB12" s="2" t="n">
        <v>20.2</v>
      </c>
      <c r="AC12" s="2" t="n">
        <v>11</v>
      </c>
      <c r="AD12" s="2" t="n">
        <v>13.7</v>
      </c>
      <c r="AE12" s="2" t="s">
        <v>55</v>
      </c>
    </row>
    <row r="13" customFormat="false" ht="19.5" hidden="false" customHeight="true" outlineLevel="0" collapsed="false">
      <c r="A13" s="5" t="s">
        <v>86</v>
      </c>
      <c r="B13" s="6" t="s">
        <v>43</v>
      </c>
      <c r="C13" s="5" t="s">
        <v>58</v>
      </c>
      <c r="D13" s="5" t="n">
        <v>102000000</v>
      </c>
      <c r="E13" s="5" t="s">
        <v>66</v>
      </c>
      <c r="F13" s="5" t="s">
        <v>46</v>
      </c>
      <c r="G13" s="5" t="n">
        <v>2014</v>
      </c>
      <c r="H13" s="5" t="s">
        <v>36</v>
      </c>
      <c r="I13" s="5" t="n">
        <v>4</v>
      </c>
      <c r="J13" s="5" t="n">
        <v>2</v>
      </c>
      <c r="K13" s="5" t="n">
        <v>4</v>
      </c>
      <c r="L13" s="5" t="n">
        <v>2</v>
      </c>
      <c r="M13" s="5" t="n">
        <v>3</v>
      </c>
      <c r="N13" s="5" t="n">
        <v>15</v>
      </c>
      <c r="O13" s="5" t="n">
        <v>4</v>
      </c>
      <c r="P13" s="5" t="n">
        <v>2</v>
      </c>
      <c r="Q13" s="5" t="n">
        <v>1</v>
      </c>
      <c r="R13" s="5" t="n">
        <v>3</v>
      </c>
      <c r="S13" s="7" t="s">
        <v>47</v>
      </c>
      <c r="T13" s="5" t="s">
        <v>61</v>
      </c>
      <c r="U13" s="5" t="s">
        <v>39</v>
      </c>
      <c r="V13" s="5" t="s">
        <v>39</v>
      </c>
      <c r="W13" s="5" t="s">
        <v>39</v>
      </c>
      <c r="X13" s="5" t="s">
        <v>72</v>
      </c>
      <c r="Y13" s="5" t="s">
        <v>39</v>
      </c>
      <c r="Z13" s="5" t="n">
        <v>0.7</v>
      </c>
      <c r="AA13" s="5" t="n">
        <v>8</v>
      </c>
      <c r="AB13" s="5" t="n">
        <v>21.1</v>
      </c>
      <c r="AC13" s="5" t="n">
        <v>10</v>
      </c>
      <c r="AD13" s="5" t="n">
        <v>37.4</v>
      </c>
      <c r="AE13" s="5" t="s">
        <v>63</v>
      </c>
    </row>
    <row r="14" customFormat="false" ht="19.5" hidden="false" customHeight="true" outlineLevel="0" collapsed="false">
      <c r="A14" s="2" t="s">
        <v>87</v>
      </c>
      <c r="B14" s="3" t="s">
        <v>50</v>
      </c>
      <c r="C14" s="2" t="s">
        <v>33</v>
      </c>
      <c r="D14" s="2" t="n">
        <v>439000000</v>
      </c>
      <c r="E14" s="2" t="s">
        <v>71</v>
      </c>
      <c r="F14" s="2" t="s">
        <v>53</v>
      </c>
      <c r="G14" s="2" t="n">
        <v>1995</v>
      </c>
      <c r="H14" s="2" t="s">
        <v>36</v>
      </c>
      <c r="I14" s="2" t="n">
        <v>2</v>
      </c>
      <c r="J14" s="2" t="n">
        <v>4</v>
      </c>
      <c r="K14" s="2" t="n">
        <v>4</v>
      </c>
      <c r="L14" s="2" t="n">
        <v>4</v>
      </c>
      <c r="M14" s="2" t="n">
        <v>2</v>
      </c>
      <c r="N14" s="2" t="n">
        <v>16</v>
      </c>
      <c r="O14" s="2" t="n">
        <v>4</v>
      </c>
      <c r="P14" s="2" t="n">
        <v>1</v>
      </c>
      <c r="Q14" s="2" t="n">
        <v>2</v>
      </c>
      <c r="R14" s="2" t="n">
        <v>3</v>
      </c>
      <c r="S14" s="7" t="s">
        <v>47</v>
      </c>
      <c r="T14" s="2" t="s">
        <v>61</v>
      </c>
      <c r="U14" s="2" t="s">
        <v>39</v>
      </c>
      <c r="V14" s="2" t="s">
        <v>39</v>
      </c>
      <c r="W14" s="2" t="s">
        <v>39</v>
      </c>
      <c r="X14" s="2" t="s">
        <v>40</v>
      </c>
      <c r="Y14" s="2" t="s">
        <v>36</v>
      </c>
      <c r="Z14" s="2" t="n">
        <v>1.56</v>
      </c>
      <c r="AA14" s="2" t="n">
        <v>7</v>
      </c>
      <c r="AB14" s="2" t="n">
        <v>7.8</v>
      </c>
      <c r="AC14" s="2" t="n">
        <v>40</v>
      </c>
      <c r="AD14" s="2" t="n">
        <v>28.2</v>
      </c>
      <c r="AE14" s="2" t="s">
        <v>41</v>
      </c>
    </row>
    <row r="15" customFormat="false" ht="19.5" hidden="false" customHeight="true" outlineLevel="0" collapsed="false">
      <c r="A15" s="5" t="s">
        <v>88</v>
      </c>
      <c r="B15" s="6" t="s">
        <v>57</v>
      </c>
      <c r="C15" s="5" t="s">
        <v>44</v>
      </c>
      <c r="D15" s="5" t="n">
        <v>254000000</v>
      </c>
      <c r="E15" s="5" t="s">
        <v>75</v>
      </c>
      <c r="F15" s="5" t="s">
        <v>60</v>
      </c>
      <c r="G15" s="5" t="n">
        <v>1989</v>
      </c>
      <c r="H15" s="5" t="s">
        <v>36</v>
      </c>
      <c r="I15" s="5" t="n">
        <v>2</v>
      </c>
      <c r="J15" s="5" t="n">
        <v>3</v>
      </c>
      <c r="K15" s="5" t="n">
        <v>2</v>
      </c>
      <c r="L15" s="5" t="n">
        <v>1</v>
      </c>
      <c r="M15" s="5" t="n">
        <v>1</v>
      </c>
      <c r="N15" s="5" t="n">
        <v>9</v>
      </c>
      <c r="O15" s="5" t="n">
        <v>3</v>
      </c>
      <c r="P15" s="5" t="n">
        <v>1</v>
      </c>
      <c r="Q15" s="5" t="n">
        <v>1</v>
      </c>
      <c r="R15" s="5" t="n">
        <v>2</v>
      </c>
      <c r="S15" s="4" t="s">
        <v>37</v>
      </c>
      <c r="T15" s="5" t="s">
        <v>61</v>
      </c>
      <c r="U15" s="5" t="s">
        <v>39</v>
      </c>
      <c r="V15" s="5" t="s">
        <v>39</v>
      </c>
      <c r="W15" s="5" t="s">
        <v>39</v>
      </c>
      <c r="X15" s="5" t="s">
        <v>40</v>
      </c>
      <c r="Y15" s="5" t="s">
        <v>39</v>
      </c>
      <c r="Z15" s="5" t="n">
        <v>3.91</v>
      </c>
      <c r="AA15" s="5" t="n">
        <v>1</v>
      </c>
      <c r="AB15" s="5" t="n">
        <v>15.3</v>
      </c>
      <c r="AC15" s="5" t="n">
        <v>20</v>
      </c>
      <c r="AD15" s="5" t="n">
        <v>19.1</v>
      </c>
      <c r="AE15" s="5" t="s">
        <v>48</v>
      </c>
    </row>
    <row r="16" customFormat="false" ht="19.5" hidden="false" customHeight="true" outlineLevel="0" collapsed="false">
      <c r="A16" s="2" t="s">
        <v>89</v>
      </c>
      <c r="B16" s="3" t="s">
        <v>65</v>
      </c>
      <c r="C16" s="2" t="s">
        <v>51</v>
      </c>
      <c r="D16" s="2" t="n">
        <v>487000000</v>
      </c>
      <c r="E16" s="2" t="s">
        <v>34</v>
      </c>
      <c r="F16" s="2" t="s">
        <v>67</v>
      </c>
      <c r="G16" s="2" t="n">
        <v>1995</v>
      </c>
      <c r="H16" s="2" t="s">
        <v>39</v>
      </c>
      <c r="I16" s="2" t="n">
        <v>1</v>
      </c>
      <c r="J16" s="2" t="n">
        <v>1</v>
      </c>
      <c r="K16" s="2" t="n">
        <v>4</v>
      </c>
      <c r="L16" s="2" t="n">
        <v>3</v>
      </c>
      <c r="M16" s="2" t="n">
        <v>3</v>
      </c>
      <c r="N16" s="2" t="n">
        <v>12</v>
      </c>
      <c r="O16" s="2" t="n">
        <v>2</v>
      </c>
      <c r="P16" s="2" t="n">
        <v>3</v>
      </c>
      <c r="Q16" s="2" t="n">
        <v>2</v>
      </c>
      <c r="R16" s="2" t="n">
        <v>2</v>
      </c>
      <c r="S16" s="4" t="s">
        <v>37</v>
      </c>
      <c r="T16" s="2" t="s">
        <v>54</v>
      </c>
      <c r="U16" s="2" t="s">
        <v>36</v>
      </c>
      <c r="V16" s="2" t="s">
        <v>39</v>
      </c>
      <c r="W16" s="2" t="s">
        <v>39</v>
      </c>
      <c r="X16" s="2" t="s">
        <v>68</v>
      </c>
      <c r="Y16" s="2" t="s">
        <v>36</v>
      </c>
      <c r="Z16" s="2" t="n">
        <v>2.33</v>
      </c>
      <c r="AA16" s="2" t="n">
        <v>1</v>
      </c>
      <c r="AB16" s="2" t="n">
        <v>1.2</v>
      </c>
      <c r="AC16" s="2" t="n">
        <v>44</v>
      </c>
      <c r="AD16" s="2" t="n">
        <v>39.9</v>
      </c>
      <c r="AE16" s="2" t="s">
        <v>55</v>
      </c>
    </row>
    <row r="17" customFormat="false" ht="19.5" hidden="false" customHeight="true" outlineLevel="0" collapsed="false">
      <c r="A17" s="5" t="s">
        <v>90</v>
      </c>
      <c r="B17" s="6" t="s">
        <v>70</v>
      </c>
      <c r="C17" s="5" t="s">
        <v>58</v>
      </c>
      <c r="D17" s="5" t="n">
        <v>56000000</v>
      </c>
      <c r="E17" s="5" t="s">
        <v>45</v>
      </c>
      <c r="F17" s="5" t="s">
        <v>35</v>
      </c>
      <c r="G17" s="5" t="n">
        <v>1984</v>
      </c>
      <c r="H17" s="5" t="s">
        <v>36</v>
      </c>
      <c r="I17" s="5" t="n">
        <v>2</v>
      </c>
      <c r="J17" s="5" t="n">
        <v>3</v>
      </c>
      <c r="K17" s="5" t="n">
        <v>2</v>
      </c>
      <c r="L17" s="5" t="n">
        <v>3</v>
      </c>
      <c r="M17" s="5" t="n">
        <v>1</v>
      </c>
      <c r="N17" s="5" t="n">
        <v>11</v>
      </c>
      <c r="O17" s="5" t="n">
        <v>2</v>
      </c>
      <c r="P17" s="5" t="n">
        <v>3</v>
      </c>
      <c r="Q17" s="5" t="n">
        <v>3</v>
      </c>
      <c r="R17" s="5" t="n">
        <v>2</v>
      </c>
      <c r="S17" s="4" t="s">
        <v>37</v>
      </c>
      <c r="T17" s="5" t="s">
        <v>91</v>
      </c>
      <c r="U17" s="5" t="s">
        <v>36</v>
      </c>
      <c r="V17" s="5" t="s">
        <v>39</v>
      </c>
      <c r="W17" s="5" t="s">
        <v>39</v>
      </c>
      <c r="X17" s="5" t="s">
        <v>72</v>
      </c>
      <c r="Y17" s="5" t="s">
        <v>36</v>
      </c>
      <c r="Z17" s="5" t="n">
        <v>2.95</v>
      </c>
      <c r="AA17" s="5" t="n">
        <v>8</v>
      </c>
      <c r="AB17" s="5" t="n">
        <v>1.2</v>
      </c>
      <c r="AC17" s="5" t="n">
        <v>40</v>
      </c>
      <c r="AD17" s="5" t="n">
        <v>15.5</v>
      </c>
      <c r="AE17" s="5" t="s">
        <v>63</v>
      </c>
    </row>
    <row r="18" customFormat="false" ht="19.5" hidden="false" customHeight="true" outlineLevel="0" collapsed="false">
      <c r="A18" s="2" t="s">
        <v>92</v>
      </c>
      <c r="B18" s="3" t="s">
        <v>74</v>
      </c>
      <c r="C18" s="2" t="s">
        <v>33</v>
      </c>
      <c r="D18" s="2" t="n">
        <v>344000000</v>
      </c>
      <c r="E18" s="2" t="s">
        <v>52</v>
      </c>
      <c r="F18" s="2" t="s">
        <v>46</v>
      </c>
      <c r="G18" s="2" t="n">
        <v>1986</v>
      </c>
      <c r="H18" s="2" t="s">
        <v>36</v>
      </c>
      <c r="I18" s="2" t="n">
        <v>2</v>
      </c>
      <c r="J18" s="2" t="n">
        <v>3</v>
      </c>
      <c r="K18" s="2" t="n">
        <v>1</v>
      </c>
      <c r="L18" s="2" t="n">
        <v>1</v>
      </c>
      <c r="M18" s="2" t="n">
        <v>2</v>
      </c>
      <c r="N18" s="2" t="n">
        <v>9</v>
      </c>
      <c r="O18" s="2" t="n">
        <v>3</v>
      </c>
      <c r="P18" s="2" t="n">
        <v>3</v>
      </c>
      <c r="Q18" s="2" t="n">
        <v>2</v>
      </c>
      <c r="R18" s="2" t="n">
        <v>2</v>
      </c>
      <c r="S18" s="4" t="s">
        <v>37</v>
      </c>
      <c r="T18" s="2" t="s">
        <v>54</v>
      </c>
      <c r="U18" s="2" t="s">
        <v>39</v>
      </c>
      <c r="V18" s="2" t="s">
        <v>39</v>
      </c>
      <c r="W18" s="2" t="s">
        <v>39</v>
      </c>
      <c r="X18" s="2" t="s">
        <v>62</v>
      </c>
      <c r="Y18" s="2" t="s">
        <v>36</v>
      </c>
      <c r="Z18" s="2" t="n">
        <v>2.52</v>
      </c>
      <c r="AA18" s="2" t="n">
        <v>4</v>
      </c>
      <c r="AB18" s="2" t="n">
        <v>22.7</v>
      </c>
      <c r="AC18" s="2" t="n">
        <v>8</v>
      </c>
      <c r="AD18" s="2" t="n">
        <v>8.2</v>
      </c>
      <c r="AE18" s="2" t="s">
        <v>41</v>
      </c>
    </row>
    <row r="19" customFormat="false" ht="19.5" hidden="false" customHeight="true" outlineLevel="0" collapsed="false">
      <c r="A19" s="5" t="s">
        <v>93</v>
      </c>
      <c r="B19" s="6" t="s">
        <v>77</v>
      </c>
      <c r="C19" s="5" t="s">
        <v>44</v>
      </c>
      <c r="D19" s="5" t="n">
        <v>221000000</v>
      </c>
      <c r="E19" s="5" t="s">
        <v>59</v>
      </c>
      <c r="F19" s="5" t="s">
        <v>53</v>
      </c>
      <c r="G19" s="5" t="n">
        <v>1997</v>
      </c>
      <c r="H19" s="5" t="s">
        <v>36</v>
      </c>
      <c r="I19" s="5" t="n">
        <v>1</v>
      </c>
      <c r="J19" s="5" t="n">
        <v>1</v>
      </c>
      <c r="K19" s="5" t="n">
        <v>3</v>
      </c>
      <c r="L19" s="5" t="n">
        <v>2</v>
      </c>
      <c r="M19" s="5" t="n">
        <v>3</v>
      </c>
      <c r="N19" s="5" t="n">
        <v>10</v>
      </c>
      <c r="O19" s="5" t="n">
        <v>2</v>
      </c>
      <c r="P19" s="5" t="n">
        <v>4</v>
      </c>
      <c r="Q19" s="5" t="n">
        <v>4</v>
      </c>
      <c r="R19" s="5" t="n">
        <v>2</v>
      </c>
      <c r="S19" s="4" t="s">
        <v>37</v>
      </c>
      <c r="T19" s="5" t="s">
        <v>38</v>
      </c>
      <c r="U19" s="5" t="s">
        <v>39</v>
      </c>
      <c r="V19" s="5" t="s">
        <v>39</v>
      </c>
      <c r="W19" s="5" t="s">
        <v>39</v>
      </c>
      <c r="X19" s="5" t="s">
        <v>40</v>
      </c>
      <c r="Y19" s="5" t="s">
        <v>39</v>
      </c>
      <c r="Z19" s="5" t="n">
        <v>2.68</v>
      </c>
      <c r="AA19" s="5" t="n">
        <v>5</v>
      </c>
      <c r="AB19" s="5" t="n">
        <v>15</v>
      </c>
      <c r="AC19" s="5" t="n">
        <v>14</v>
      </c>
      <c r="AD19" s="5" t="n">
        <v>20</v>
      </c>
      <c r="AE19" s="5" t="s">
        <v>48</v>
      </c>
    </row>
    <row r="20" customFormat="false" ht="19.5" hidden="false" customHeight="true" outlineLevel="0" collapsed="false">
      <c r="A20" s="2" t="s">
        <v>94</v>
      </c>
      <c r="B20" s="3" t="s">
        <v>79</v>
      </c>
      <c r="C20" s="2" t="s">
        <v>51</v>
      </c>
      <c r="D20" s="2" t="n">
        <v>26000000</v>
      </c>
      <c r="E20" s="2" t="s">
        <v>66</v>
      </c>
      <c r="F20" s="2" t="s">
        <v>60</v>
      </c>
      <c r="G20" s="2" t="n">
        <v>1999</v>
      </c>
      <c r="H20" s="2" t="s">
        <v>36</v>
      </c>
      <c r="I20" s="2" t="n">
        <v>3</v>
      </c>
      <c r="J20" s="2" t="n">
        <v>1</v>
      </c>
      <c r="K20" s="2" t="n">
        <v>3</v>
      </c>
      <c r="L20" s="2" t="n">
        <v>2</v>
      </c>
      <c r="M20" s="2" t="n">
        <v>2</v>
      </c>
      <c r="N20" s="2" t="n">
        <v>11</v>
      </c>
      <c r="O20" s="2" t="n">
        <v>1</v>
      </c>
      <c r="P20" s="2" t="n">
        <v>3</v>
      </c>
      <c r="Q20" s="2" t="n">
        <v>4</v>
      </c>
      <c r="R20" s="2" t="n">
        <v>2</v>
      </c>
      <c r="S20" s="4" t="s">
        <v>37</v>
      </c>
      <c r="T20" s="2" t="s">
        <v>91</v>
      </c>
      <c r="U20" s="2" t="s">
        <v>39</v>
      </c>
      <c r="V20" s="2" t="s">
        <v>39</v>
      </c>
      <c r="W20" s="2" t="s">
        <v>39</v>
      </c>
      <c r="X20" s="2" t="s">
        <v>68</v>
      </c>
      <c r="Y20" s="2" t="s">
        <v>39</v>
      </c>
      <c r="Z20" s="2" t="n">
        <v>4.03</v>
      </c>
      <c r="AA20" s="2" t="n">
        <v>0</v>
      </c>
      <c r="AB20" s="2" t="n">
        <v>5.3</v>
      </c>
      <c r="AC20" s="2" t="n">
        <v>26</v>
      </c>
      <c r="AD20" s="2" t="n">
        <v>32.4</v>
      </c>
      <c r="AE20" s="2" t="s">
        <v>55</v>
      </c>
    </row>
    <row r="21" customFormat="false" ht="19.5" hidden="false" customHeight="true" outlineLevel="0" collapsed="false">
      <c r="A21" s="5" t="s">
        <v>95</v>
      </c>
      <c r="B21" s="6" t="s">
        <v>82</v>
      </c>
      <c r="C21" s="5" t="s">
        <v>58</v>
      </c>
      <c r="D21" s="5" t="n">
        <v>215000000</v>
      </c>
      <c r="E21" s="5" t="s">
        <v>71</v>
      </c>
      <c r="F21" s="5" t="s">
        <v>67</v>
      </c>
      <c r="G21" s="5" t="n">
        <v>1995</v>
      </c>
      <c r="H21" s="5" t="s">
        <v>39</v>
      </c>
      <c r="I21" s="5" t="n">
        <v>3</v>
      </c>
      <c r="J21" s="5" t="n">
        <v>2</v>
      </c>
      <c r="K21" s="5" t="n">
        <v>1</v>
      </c>
      <c r="L21" s="5" t="n">
        <v>4</v>
      </c>
      <c r="M21" s="5" t="n">
        <v>1</v>
      </c>
      <c r="N21" s="5" t="n">
        <v>11</v>
      </c>
      <c r="O21" s="5" t="n">
        <v>4</v>
      </c>
      <c r="P21" s="5" t="n">
        <v>2</v>
      </c>
      <c r="Q21" s="5" t="n">
        <v>2</v>
      </c>
      <c r="R21" s="5" t="n">
        <v>2</v>
      </c>
      <c r="S21" s="4" t="s">
        <v>37</v>
      </c>
      <c r="T21" s="5" t="s">
        <v>61</v>
      </c>
      <c r="U21" s="5" t="s">
        <v>36</v>
      </c>
      <c r="V21" s="5" t="s">
        <v>39</v>
      </c>
      <c r="W21" s="5" t="s">
        <v>39</v>
      </c>
      <c r="X21" s="5" t="s">
        <v>84</v>
      </c>
      <c r="Y21" s="5" t="s">
        <v>39</v>
      </c>
      <c r="Z21" s="5" t="n">
        <v>1.39</v>
      </c>
      <c r="AA21" s="5" t="n">
        <v>3</v>
      </c>
      <c r="AB21" s="5" t="n">
        <v>10.6</v>
      </c>
      <c r="AC21" s="5" t="n">
        <v>22</v>
      </c>
      <c r="AD21" s="5" t="n">
        <v>35.3</v>
      </c>
      <c r="AE21" s="5" t="s">
        <v>63</v>
      </c>
    </row>
    <row r="22" customFormat="false" ht="19.5" hidden="false" customHeight="true" outlineLevel="0" collapsed="false">
      <c r="A22" s="2" t="s">
        <v>96</v>
      </c>
      <c r="B22" s="3" t="s">
        <v>32</v>
      </c>
      <c r="C22" s="2" t="s">
        <v>33</v>
      </c>
      <c r="D22" s="2" t="n">
        <v>500000000</v>
      </c>
      <c r="E22" s="2" t="s">
        <v>75</v>
      </c>
      <c r="F22" s="2" t="s">
        <v>35</v>
      </c>
      <c r="G22" s="2" t="n">
        <v>1997</v>
      </c>
      <c r="H22" s="2" t="s">
        <v>36</v>
      </c>
      <c r="I22" s="2" t="n">
        <v>3</v>
      </c>
      <c r="J22" s="2" t="n">
        <v>4</v>
      </c>
      <c r="K22" s="2" t="n">
        <v>3</v>
      </c>
      <c r="L22" s="2" t="n">
        <v>1</v>
      </c>
      <c r="M22" s="2" t="n">
        <v>1</v>
      </c>
      <c r="N22" s="2" t="n">
        <v>12</v>
      </c>
      <c r="O22" s="2" t="n">
        <v>3</v>
      </c>
      <c r="P22" s="2" t="n">
        <v>2</v>
      </c>
      <c r="Q22" s="2" t="n">
        <v>3</v>
      </c>
      <c r="R22" s="2" t="n">
        <v>2</v>
      </c>
      <c r="S22" s="4" t="s">
        <v>37</v>
      </c>
      <c r="T22" s="2" t="s">
        <v>38</v>
      </c>
      <c r="U22" s="2" t="s">
        <v>39</v>
      </c>
      <c r="V22" s="2" t="s">
        <v>39</v>
      </c>
      <c r="W22" s="2" t="s">
        <v>39</v>
      </c>
      <c r="X22" s="2" t="s">
        <v>72</v>
      </c>
      <c r="Y22" s="2" t="s">
        <v>36</v>
      </c>
      <c r="Z22" s="2" t="n">
        <v>1.88</v>
      </c>
      <c r="AA22" s="2" t="n">
        <v>5</v>
      </c>
      <c r="AB22" s="2" t="n">
        <v>11.5</v>
      </c>
      <c r="AC22" s="2" t="n">
        <v>37</v>
      </c>
      <c r="AD22" s="2" t="n">
        <v>9</v>
      </c>
      <c r="AE22" s="2" t="s">
        <v>41</v>
      </c>
    </row>
    <row r="23" customFormat="false" ht="19.5" hidden="false" customHeight="true" outlineLevel="0" collapsed="false">
      <c r="A23" s="5" t="s">
        <v>97</v>
      </c>
      <c r="B23" s="6" t="s">
        <v>43</v>
      </c>
      <c r="C23" s="5" t="s">
        <v>44</v>
      </c>
      <c r="D23" s="5" t="n">
        <v>465000000</v>
      </c>
      <c r="E23" s="5" t="s">
        <v>34</v>
      </c>
      <c r="F23" s="5" t="s">
        <v>46</v>
      </c>
      <c r="G23" s="5" t="n">
        <v>1992</v>
      </c>
      <c r="H23" s="5" t="s">
        <v>36</v>
      </c>
      <c r="I23" s="5" t="n">
        <v>3</v>
      </c>
      <c r="J23" s="5" t="n">
        <v>1</v>
      </c>
      <c r="K23" s="5" t="n">
        <v>4</v>
      </c>
      <c r="L23" s="5" t="n">
        <v>1</v>
      </c>
      <c r="M23" s="5" t="n">
        <v>2</v>
      </c>
      <c r="N23" s="5" t="n">
        <v>11</v>
      </c>
      <c r="O23" s="5" t="n">
        <v>3</v>
      </c>
      <c r="P23" s="5" t="n">
        <v>4</v>
      </c>
      <c r="Q23" s="5" t="n">
        <v>1</v>
      </c>
      <c r="R23" s="5" t="n">
        <v>2</v>
      </c>
      <c r="S23" s="4" t="s">
        <v>37</v>
      </c>
      <c r="T23" s="5" t="s">
        <v>54</v>
      </c>
      <c r="U23" s="5" t="s">
        <v>36</v>
      </c>
      <c r="V23" s="5" t="s">
        <v>39</v>
      </c>
      <c r="W23" s="5" t="s">
        <v>39</v>
      </c>
      <c r="X23" s="5" t="s">
        <v>62</v>
      </c>
      <c r="Y23" s="5" t="s">
        <v>39</v>
      </c>
      <c r="Z23" s="5" t="n">
        <v>3.38</v>
      </c>
      <c r="AA23" s="5" t="n">
        <v>4</v>
      </c>
      <c r="AB23" s="5" t="n">
        <v>13.2</v>
      </c>
      <c r="AC23" s="5" t="n">
        <v>31</v>
      </c>
      <c r="AD23" s="5" t="n">
        <v>16.4</v>
      </c>
      <c r="AE23" s="5" t="s">
        <v>48</v>
      </c>
    </row>
    <row r="24" customFormat="false" ht="19.5" hidden="false" customHeight="true" outlineLevel="0" collapsed="false">
      <c r="A24" s="2" t="s">
        <v>98</v>
      </c>
      <c r="B24" s="3" t="s">
        <v>50</v>
      </c>
      <c r="C24" s="2" t="s">
        <v>51</v>
      </c>
      <c r="D24" s="2" t="n">
        <v>361000000</v>
      </c>
      <c r="E24" s="2" t="s">
        <v>45</v>
      </c>
      <c r="F24" s="2" t="s">
        <v>53</v>
      </c>
      <c r="G24" s="2" t="n">
        <v>1998</v>
      </c>
      <c r="H24" s="2" t="s">
        <v>36</v>
      </c>
      <c r="I24" s="2" t="n">
        <v>2</v>
      </c>
      <c r="J24" s="2" t="n">
        <v>2</v>
      </c>
      <c r="K24" s="2" t="n">
        <v>4</v>
      </c>
      <c r="L24" s="2" t="n">
        <v>4</v>
      </c>
      <c r="M24" s="2" t="n">
        <v>2</v>
      </c>
      <c r="N24" s="2" t="n">
        <v>14</v>
      </c>
      <c r="O24" s="2" t="n">
        <v>3</v>
      </c>
      <c r="P24" s="2" t="n">
        <v>4</v>
      </c>
      <c r="Q24" s="2" t="n">
        <v>1</v>
      </c>
      <c r="R24" s="2" t="n">
        <v>3</v>
      </c>
      <c r="S24" s="7" t="s">
        <v>47</v>
      </c>
      <c r="T24" s="2" t="s">
        <v>54</v>
      </c>
      <c r="U24" s="2" t="s">
        <v>39</v>
      </c>
      <c r="V24" s="2" t="s">
        <v>39</v>
      </c>
      <c r="W24" s="2" t="s">
        <v>39</v>
      </c>
      <c r="X24" s="2" t="s">
        <v>84</v>
      </c>
      <c r="Y24" s="2" t="s">
        <v>39</v>
      </c>
      <c r="Z24" s="2" t="n">
        <v>2.22</v>
      </c>
      <c r="AA24" s="2" t="n">
        <v>5</v>
      </c>
      <c r="AB24" s="2" t="n">
        <v>12.2</v>
      </c>
      <c r="AC24" s="2" t="n">
        <v>33</v>
      </c>
      <c r="AD24" s="2" t="n">
        <v>28.6</v>
      </c>
      <c r="AE24" s="2" t="s">
        <v>55</v>
      </c>
    </row>
    <row r="25" customFormat="false" ht="19.5" hidden="false" customHeight="true" outlineLevel="0" collapsed="false">
      <c r="A25" s="5" t="s">
        <v>99</v>
      </c>
      <c r="B25" s="6" t="s">
        <v>57</v>
      </c>
      <c r="C25" s="5" t="s">
        <v>58</v>
      </c>
      <c r="D25" s="5" t="n">
        <v>266000000</v>
      </c>
      <c r="E25" s="5" t="s">
        <v>52</v>
      </c>
      <c r="F25" s="5" t="s">
        <v>60</v>
      </c>
      <c r="G25" s="5" t="n">
        <v>2010</v>
      </c>
      <c r="H25" s="5" t="s">
        <v>36</v>
      </c>
      <c r="I25" s="5" t="n">
        <v>2</v>
      </c>
      <c r="J25" s="5" t="n">
        <v>1</v>
      </c>
      <c r="K25" s="5" t="n">
        <v>3</v>
      </c>
      <c r="L25" s="5" t="n">
        <v>3</v>
      </c>
      <c r="M25" s="5" t="n">
        <v>1</v>
      </c>
      <c r="N25" s="5" t="n">
        <v>10</v>
      </c>
      <c r="O25" s="5" t="n">
        <v>2</v>
      </c>
      <c r="P25" s="5" t="n">
        <v>3</v>
      </c>
      <c r="Q25" s="5" t="n">
        <v>2</v>
      </c>
      <c r="R25" s="5" t="n">
        <v>2</v>
      </c>
      <c r="S25" s="4" t="s">
        <v>37</v>
      </c>
      <c r="T25" s="5" t="s">
        <v>91</v>
      </c>
      <c r="U25" s="5" t="s">
        <v>39</v>
      </c>
      <c r="V25" s="5" t="s">
        <v>39</v>
      </c>
      <c r="W25" s="5" t="s">
        <v>39</v>
      </c>
      <c r="X25" s="5" t="s">
        <v>40</v>
      </c>
      <c r="Y25" s="5" t="s">
        <v>39</v>
      </c>
      <c r="Z25" s="5" t="n">
        <v>1.48</v>
      </c>
      <c r="AA25" s="5" t="n">
        <v>7</v>
      </c>
      <c r="AB25" s="5" t="n">
        <v>15.7</v>
      </c>
      <c r="AC25" s="5" t="n">
        <v>9</v>
      </c>
      <c r="AD25" s="5" t="n">
        <v>20.9</v>
      </c>
      <c r="AE25" s="5" t="s">
        <v>63</v>
      </c>
    </row>
    <row r="26" customFormat="false" ht="19.5" hidden="false" customHeight="true" outlineLevel="0" collapsed="false">
      <c r="A26" s="2" t="s">
        <v>100</v>
      </c>
      <c r="B26" s="3" t="s">
        <v>65</v>
      </c>
      <c r="C26" s="2" t="s">
        <v>33</v>
      </c>
      <c r="D26" s="2" t="n">
        <v>458000000</v>
      </c>
      <c r="E26" s="2" t="s">
        <v>59</v>
      </c>
      <c r="F26" s="2" t="s">
        <v>67</v>
      </c>
      <c r="G26" s="2" t="n">
        <v>1992</v>
      </c>
      <c r="H26" s="2" t="s">
        <v>39</v>
      </c>
      <c r="I26" s="2" t="n">
        <v>4</v>
      </c>
      <c r="J26" s="2" t="n">
        <v>4</v>
      </c>
      <c r="K26" s="2" t="n">
        <v>4</v>
      </c>
      <c r="L26" s="2" t="n">
        <v>2</v>
      </c>
      <c r="M26" s="2" t="n">
        <v>2</v>
      </c>
      <c r="N26" s="2" t="n">
        <v>16</v>
      </c>
      <c r="O26" s="2" t="n">
        <v>1</v>
      </c>
      <c r="P26" s="2" t="n">
        <v>1</v>
      </c>
      <c r="Q26" s="2" t="n">
        <v>4</v>
      </c>
      <c r="R26" s="2" t="n">
        <v>3</v>
      </c>
      <c r="S26" s="7" t="s">
        <v>47</v>
      </c>
      <c r="T26" s="2" t="s">
        <v>91</v>
      </c>
      <c r="U26" s="2" t="s">
        <v>39</v>
      </c>
      <c r="V26" s="2" t="s">
        <v>39</v>
      </c>
      <c r="W26" s="2" t="s">
        <v>39</v>
      </c>
      <c r="X26" s="2" t="s">
        <v>68</v>
      </c>
      <c r="Y26" s="2" t="s">
        <v>36</v>
      </c>
      <c r="Z26" s="2" t="n">
        <v>0.7</v>
      </c>
      <c r="AA26" s="2" t="n">
        <v>3</v>
      </c>
      <c r="AB26" s="2" t="n">
        <v>23</v>
      </c>
      <c r="AC26" s="2" t="n">
        <v>12</v>
      </c>
      <c r="AD26" s="2" t="n">
        <v>21</v>
      </c>
      <c r="AE26" s="2" t="s">
        <v>41</v>
      </c>
    </row>
    <row r="27" customFormat="false" ht="19.5" hidden="false" customHeight="true" outlineLevel="0" collapsed="false">
      <c r="A27" s="5" t="s">
        <v>101</v>
      </c>
      <c r="B27" s="6" t="s">
        <v>70</v>
      </c>
      <c r="C27" s="5" t="s">
        <v>44</v>
      </c>
      <c r="D27" s="5" t="n">
        <v>415000000</v>
      </c>
      <c r="E27" s="5" t="s">
        <v>66</v>
      </c>
      <c r="F27" s="5" t="s">
        <v>35</v>
      </c>
      <c r="G27" s="5" t="n">
        <v>2009</v>
      </c>
      <c r="H27" s="5" t="s">
        <v>36</v>
      </c>
      <c r="I27" s="5" t="n">
        <v>3</v>
      </c>
      <c r="J27" s="5" t="n">
        <v>4</v>
      </c>
      <c r="K27" s="5" t="n">
        <v>4</v>
      </c>
      <c r="L27" s="5" t="n">
        <v>4</v>
      </c>
      <c r="M27" s="5" t="n">
        <v>2</v>
      </c>
      <c r="N27" s="5" t="n">
        <v>17</v>
      </c>
      <c r="O27" s="5" t="n">
        <v>4</v>
      </c>
      <c r="P27" s="5" t="n">
        <v>4</v>
      </c>
      <c r="Q27" s="5" t="n">
        <v>3</v>
      </c>
      <c r="R27" s="5" t="n">
        <v>4</v>
      </c>
      <c r="S27" s="9" t="s">
        <v>102</v>
      </c>
      <c r="T27" s="5" t="s">
        <v>91</v>
      </c>
      <c r="U27" s="5" t="s">
        <v>39</v>
      </c>
      <c r="V27" s="5" t="s">
        <v>39</v>
      </c>
      <c r="W27" s="5" t="s">
        <v>39</v>
      </c>
      <c r="X27" s="5" t="s">
        <v>62</v>
      </c>
      <c r="Y27" s="5" t="s">
        <v>36</v>
      </c>
      <c r="Z27" s="5" t="n">
        <v>3.56</v>
      </c>
      <c r="AA27" s="5" t="n">
        <v>8</v>
      </c>
      <c r="AB27" s="5" t="n">
        <v>12.6</v>
      </c>
      <c r="AC27" s="5" t="n">
        <v>20</v>
      </c>
      <c r="AD27" s="5" t="n">
        <v>14.6</v>
      </c>
      <c r="AE27" s="5" t="s">
        <v>48</v>
      </c>
    </row>
    <row r="28" customFormat="false" ht="19.5" hidden="false" customHeight="true" outlineLevel="0" collapsed="false">
      <c r="A28" s="2" t="s">
        <v>103</v>
      </c>
      <c r="B28" s="3" t="s">
        <v>74</v>
      </c>
      <c r="C28" s="2" t="s">
        <v>51</v>
      </c>
      <c r="D28" s="2" t="n">
        <v>44000000</v>
      </c>
      <c r="E28" s="2" t="s">
        <v>71</v>
      </c>
      <c r="F28" s="2" t="s">
        <v>46</v>
      </c>
      <c r="G28" s="2" t="n">
        <v>1998</v>
      </c>
      <c r="H28" s="2" t="s">
        <v>36</v>
      </c>
      <c r="I28" s="2" t="n">
        <v>2</v>
      </c>
      <c r="J28" s="2" t="n">
        <v>3</v>
      </c>
      <c r="K28" s="2" t="n">
        <v>3</v>
      </c>
      <c r="L28" s="2" t="n">
        <v>3</v>
      </c>
      <c r="M28" s="2" t="n">
        <v>1</v>
      </c>
      <c r="N28" s="2" t="n">
        <v>12</v>
      </c>
      <c r="O28" s="2" t="n">
        <v>2</v>
      </c>
      <c r="P28" s="2" t="n">
        <v>2</v>
      </c>
      <c r="Q28" s="2" t="n">
        <v>2</v>
      </c>
      <c r="R28" s="2" t="n">
        <v>2</v>
      </c>
      <c r="S28" s="4" t="s">
        <v>37</v>
      </c>
      <c r="T28" s="2" t="s">
        <v>61</v>
      </c>
      <c r="U28" s="2" t="s">
        <v>39</v>
      </c>
      <c r="V28" s="2" t="s">
        <v>39</v>
      </c>
      <c r="W28" s="2" t="s">
        <v>39</v>
      </c>
      <c r="X28" s="2" t="s">
        <v>62</v>
      </c>
      <c r="Y28" s="2" t="s">
        <v>39</v>
      </c>
      <c r="Z28" s="2" t="n">
        <v>0.76</v>
      </c>
      <c r="AA28" s="2" t="n">
        <v>6</v>
      </c>
      <c r="AB28" s="2" t="n">
        <v>8.9</v>
      </c>
      <c r="AC28" s="2" t="n">
        <v>34</v>
      </c>
      <c r="AD28" s="2" t="n">
        <v>19.6</v>
      </c>
      <c r="AE28" s="2" t="s">
        <v>55</v>
      </c>
    </row>
    <row r="29" customFormat="false" ht="19.5" hidden="false" customHeight="true" outlineLevel="0" collapsed="false">
      <c r="A29" s="5" t="s">
        <v>104</v>
      </c>
      <c r="B29" s="6" t="s">
        <v>77</v>
      </c>
      <c r="C29" s="5" t="s">
        <v>58</v>
      </c>
      <c r="D29" s="5" t="n">
        <v>110000000</v>
      </c>
      <c r="E29" s="5" t="s">
        <v>75</v>
      </c>
      <c r="F29" s="5" t="s">
        <v>53</v>
      </c>
      <c r="G29" s="5" t="n">
        <v>2006</v>
      </c>
      <c r="H29" s="5" t="s">
        <v>36</v>
      </c>
      <c r="I29" s="5" t="n">
        <v>4</v>
      </c>
      <c r="J29" s="5" t="n">
        <v>1</v>
      </c>
      <c r="K29" s="5" t="n">
        <v>4</v>
      </c>
      <c r="L29" s="5" t="n">
        <v>4</v>
      </c>
      <c r="M29" s="5" t="n">
        <v>1</v>
      </c>
      <c r="N29" s="5" t="n">
        <v>14</v>
      </c>
      <c r="O29" s="5" t="n">
        <v>3</v>
      </c>
      <c r="P29" s="5" t="n">
        <v>3</v>
      </c>
      <c r="Q29" s="5" t="n">
        <v>4</v>
      </c>
      <c r="R29" s="5" t="n">
        <v>3</v>
      </c>
      <c r="S29" s="7" t="s">
        <v>47</v>
      </c>
      <c r="T29" s="5" t="s">
        <v>61</v>
      </c>
      <c r="U29" s="5" t="s">
        <v>39</v>
      </c>
      <c r="V29" s="5" t="s">
        <v>39</v>
      </c>
      <c r="W29" s="5" t="s">
        <v>39</v>
      </c>
      <c r="X29" s="5" t="s">
        <v>72</v>
      </c>
      <c r="Y29" s="5" t="s">
        <v>39</v>
      </c>
      <c r="Z29" s="5" t="n">
        <v>2.45</v>
      </c>
      <c r="AA29" s="5" t="n">
        <v>4</v>
      </c>
      <c r="AB29" s="5" t="n">
        <v>11.5</v>
      </c>
      <c r="AC29" s="5" t="n">
        <v>6</v>
      </c>
      <c r="AD29" s="5" t="n">
        <v>18.6</v>
      </c>
      <c r="AE29" s="5" t="s">
        <v>63</v>
      </c>
    </row>
    <row r="30" customFormat="false" ht="19.5" hidden="false" customHeight="true" outlineLevel="0" collapsed="false">
      <c r="A30" s="2" t="s">
        <v>105</v>
      </c>
      <c r="B30" s="3" t="s">
        <v>79</v>
      </c>
      <c r="C30" s="2" t="s">
        <v>33</v>
      </c>
      <c r="D30" s="2" t="n">
        <v>347000000</v>
      </c>
      <c r="E30" s="2" t="s">
        <v>34</v>
      </c>
      <c r="F30" s="2" t="s">
        <v>60</v>
      </c>
      <c r="G30" s="2" t="n">
        <v>2005</v>
      </c>
      <c r="H30" s="2" t="s">
        <v>36</v>
      </c>
      <c r="I30" s="2" t="n">
        <v>2</v>
      </c>
      <c r="J30" s="2" t="n">
        <v>4</v>
      </c>
      <c r="K30" s="2" t="n">
        <v>2</v>
      </c>
      <c r="L30" s="2" t="n">
        <v>1</v>
      </c>
      <c r="M30" s="2" t="n">
        <v>4</v>
      </c>
      <c r="N30" s="2" t="n">
        <v>13</v>
      </c>
      <c r="O30" s="2" t="n">
        <v>1</v>
      </c>
      <c r="P30" s="2" t="n">
        <v>1</v>
      </c>
      <c r="Q30" s="2" t="n">
        <v>4</v>
      </c>
      <c r="R30" s="2" t="n">
        <v>3</v>
      </c>
      <c r="S30" s="7" t="s">
        <v>47</v>
      </c>
      <c r="T30" s="2" t="s">
        <v>91</v>
      </c>
      <c r="U30" s="2" t="s">
        <v>39</v>
      </c>
      <c r="V30" s="2" t="s">
        <v>39</v>
      </c>
      <c r="W30" s="2" t="s">
        <v>39</v>
      </c>
      <c r="X30" s="2" t="s">
        <v>80</v>
      </c>
      <c r="Y30" s="2" t="s">
        <v>39</v>
      </c>
      <c r="Z30" s="2" t="n">
        <v>0.7</v>
      </c>
      <c r="AA30" s="2" t="n">
        <v>6</v>
      </c>
      <c r="AB30" s="2" t="n">
        <v>8.9</v>
      </c>
      <c r="AC30" s="2" t="n">
        <v>34</v>
      </c>
      <c r="AD30" s="2" t="n">
        <v>16.4</v>
      </c>
      <c r="AE30" s="2" t="s">
        <v>41</v>
      </c>
    </row>
    <row r="31" customFormat="false" ht="19.5" hidden="false" customHeight="true" outlineLevel="0" collapsed="false">
      <c r="A31" s="5" t="s">
        <v>106</v>
      </c>
      <c r="B31" s="6" t="s">
        <v>82</v>
      </c>
      <c r="C31" s="5" t="s">
        <v>44</v>
      </c>
      <c r="D31" s="5" t="n">
        <v>394000000</v>
      </c>
      <c r="E31" s="5" t="s">
        <v>45</v>
      </c>
      <c r="F31" s="5" t="s">
        <v>67</v>
      </c>
      <c r="G31" s="5" t="n">
        <v>2004</v>
      </c>
      <c r="H31" s="5" t="s">
        <v>39</v>
      </c>
      <c r="I31" s="5" t="n">
        <v>3</v>
      </c>
      <c r="J31" s="5" t="n">
        <v>4</v>
      </c>
      <c r="K31" s="5" t="n">
        <v>3</v>
      </c>
      <c r="L31" s="5" t="n">
        <v>1</v>
      </c>
      <c r="M31" s="5" t="n">
        <v>4</v>
      </c>
      <c r="N31" s="5" t="n">
        <v>15</v>
      </c>
      <c r="O31" s="5" t="n">
        <v>1</v>
      </c>
      <c r="P31" s="5" t="n">
        <v>1</v>
      </c>
      <c r="Q31" s="5" t="n">
        <v>3</v>
      </c>
      <c r="R31" s="5" t="n">
        <v>3</v>
      </c>
      <c r="S31" s="7" t="s">
        <v>47</v>
      </c>
      <c r="T31" s="5" t="s">
        <v>91</v>
      </c>
      <c r="U31" s="5" t="s">
        <v>39</v>
      </c>
      <c r="V31" s="5" t="s">
        <v>39</v>
      </c>
      <c r="W31" s="5" t="s">
        <v>39</v>
      </c>
      <c r="X31" s="5" t="s">
        <v>62</v>
      </c>
      <c r="Y31" s="5" t="s">
        <v>39</v>
      </c>
      <c r="Z31" s="5" t="n">
        <v>3.62</v>
      </c>
      <c r="AA31" s="5" t="n">
        <v>0</v>
      </c>
      <c r="AB31" s="5" t="n">
        <v>19.1</v>
      </c>
      <c r="AC31" s="5" t="n">
        <v>20</v>
      </c>
      <c r="AD31" s="5" t="n">
        <v>12</v>
      </c>
      <c r="AE31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45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0" t="s">
        <v>107</v>
      </c>
      <c r="B1" s="10" t="s">
        <v>108</v>
      </c>
      <c r="C1" s="10" t="s">
        <v>109</v>
      </c>
      <c r="D1" s="10" t="s">
        <v>110</v>
      </c>
      <c r="E1" s="10" t="s">
        <v>111</v>
      </c>
    </row>
    <row r="2" customFormat="false" ht="36" hidden="false" customHeight="true" outlineLevel="0" collapsed="false">
      <c r="A2" s="11" t="s">
        <v>112</v>
      </c>
      <c r="B2" s="8" t="s">
        <v>113</v>
      </c>
      <c r="C2" s="12" t="s">
        <v>114</v>
      </c>
      <c r="D2" s="12" t="s">
        <v>115</v>
      </c>
      <c r="E2" s="8" t="n">
        <v>1</v>
      </c>
    </row>
    <row r="3" customFormat="false" ht="36" hidden="false" customHeight="true" outlineLevel="0" collapsed="false">
      <c r="A3" s="13" t="s">
        <v>112</v>
      </c>
      <c r="B3" s="4" t="s">
        <v>116</v>
      </c>
      <c r="C3" s="14" t="s">
        <v>117</v>
      </c>
      <c r="D3" s="14" t="s">
        <v>118</v>
      </c>
      <c r="E3" s="4" t="n">
        <v>2</v>
      </c>
    </row>
    <row r="4" customFormat="false" ht="36" hidden="false" customHeight="true" outlineLevel="0" collapsed="false">
      <c r="A4" s="15" t="s">
        <v>112</v>
      </c>
      <c r="B4" s="7" t="s">
        <v>119</v>
      </c>
      <c r="C4" s="16" t="s">
        <v>120</v>
      </c>
      <c r="D4" s="16" t="s">
        <v>121</v>
      </c>
      <c r="E4" s="7" t="n">
        <v>3</v>
      </c>
    </row>
    <row r="5" customFormat="false" ht="36" hidden="false" customHeight="true" outlineLevel="0" collapsed="false">
      <c r="A5" s="17" t="s">
        <v>112</v>
      </c>
      <c r="B5" s="9" t="s">
        <v>122</v>
      </c>
      <c r="C5" s="18" t="s">
        <v>123</v>
      </c>
      <c r="D5" s="18" t="s">
        <v>124</v>
      </c>
      <c r="E5" s="9" t="n">
        <v>4</v>
      </c>
    </row>
    <row r="6" customFormat="false" ht="36" hidden="false" customHeight="true" outlineLevel="0" collapsed="false">
      <c r="A6" s="11" t="s">
        <v>125</v>
      </c>
      <c r="B6" s="8" t="s">
        <v>113</v>
      </c>
      <c r="C6" s="12" t="s">
        <v>126</v>
      </c>
      <c r="D6" s="12" t="s">
        <v>127</v>
      </c>
      <c r="E6" s="8" t="n">
        <v>1</v>
      </c>
    </row>
    <row r="7" customFormat="false" ht="36" hidden="false" customHeight="true" outlineLevel="0" collapsed="false">
      <c r="A7" s="13" t="s">
        <v>125</v>
      </c>
      <c r="B7" s="4" t="s">
        <v>116</v>
      </c>
      <c r="C7" s="14" t="s">
        <v>128</v>
      </c>
      <c r="D7" s="14" t="s">
        <v>129</v>
      </c>
      <c r="E7" s="4" t="n">
        <v>2</v>
      </c>
    </row>
    <row r="8" customFormat="false" ht="36" hidden="false" customHeight="true" outlineLevel="0" collapsed="false">
      <c r="A8" s="15" t="s">
        <v>125</v>
      </c>
      <c r="B8" s="7" t="s">
        <v>119</v>
      </c>
      <c r="C8" s="16" t="s">
        <v>130</v>
      </c>
      <c r="D8" s="16" t="s">
        <v>131</v>
      </c>
      <c r="E8" s="7" t="n">
        <v>3</v>
      </c>
    </row>
    <row r="9" customFormat="false" ht="36" hidden="false" customHeight="true" outlineLevel="0" collapsed="false">
      <c r="A9" s="17" t="s">
        <v>125</v>
      </c>
      <c r="B9" s="9" t="s">
        <v>122</v>
      </c>
      <c r="C9" s="18" t="s">
        <v>132</v>
      </c>
      <c r="D9" s="18" t="s">
        <v>133</v>
      </c>
      <c r="E9" s="9" t="n">
        <v>4</v>
      </c>
    </row>
    <row r="10" customFormat="false" ht="36" hidden="false" customHeight="true" outlineLevel="0" collapsed="false">
      <c r="A10" s="11" t="s">
        <v>134</v>
      </c>
      <c r="B10" s="8" t="s">
        <v>113</v>
      </c>
      <c r="C10" s="12" t="s">
        <v>135</v>
      </c>
      <c r="D10" s="12" t="s">
        <v>136</v>
      </c>
      <c r="E10" s="8" t="n">
        <v>1</v>
      </c>
    </row>
    <row r="11" customFormat="false" ht="36" hidden="false" customHeight="true" outlineLevel="0" collapsed="false">
      <c r="A11" s="13" t="s">
        <v>134</v>
      </c>
      <c r="B11" s="4" t="s">
        <v>116</v>
      </c>
      <c r="C11" s="14" t="s">
        <v>137</v>
      </c>
      <c r="D11" s="14" t="s">
        <v>138</v>
      </c>
      <c r="E11" s="4" t="n">
        <v>2</v>
      </c>
    </row>
    <row r="12" customFormat="false" ht="36" hidden="false" customHeight="true" outlineLevel="0" collapsed="false">
      <c r="A12" s="15" t="s">
        <v>134</v>
      </c>
      <c r="B12" s="7" t="s">
        <v>119</v>
      </c>
      <c r="C12" s="16" t="s">
        <v>139</v>
      </c>
      <c r="D12" s="16" t="s">
        <v>140</v>
      </c>
      <c r="E12" s="7" t="n">
        <v>3</v>
      </c>
    </row>
    <row r="13" customFormat="false" ht="36" hidden="false" customHeight="true" outlineLevel="0" collapsed="false">
      <c r="A13" s="17" t="s">
        <v>134</v>
      </c>
      <c r="B13" s="9" t="s">
        <v>122</v>
      </c>
      <c r="C13" s="18" t="s">
        <v>141</v>
      </c>
      <c r="D13" s="18" t="s">
        <v>142</v>
      </c>
      <c r="E13" s="9" t="n">
        <v>4</v>
      </c>
    </row>
    <row r="14" customFormat="false" ht="36" hidden="false" customHeight="true" outlineLevel="0" collapsed="false">
      <c r="A14" s="11" t="s">
        <v>143</v>
      </c>
      <c r="B14" s="8" t="s">
        <v>113</v>
      </c>
      <c r="C14" s="12" t="s">
        <v>144</v>
      </c>
      <c r="D14" s="12" t="s">
        <v>145</v>
      </c>
      <c r="E14" s="8" t="n">
        <v>1</v>
      </c>
    </row>
    <row r="15" customFormat="false" ht="36" hidden="false" customHeight="true" outlineLevel="0" collapsed="false">
      <c r="A15" s="13" t="s">
        <v>143</v>
      </c>
      <c r="B15" s="4" t="s">
        <v>116</v>
      </c>
      <c r="C15" s="14" t="s">
        <v>146</v>
      </c>
      <c r="D15" s="14" t="s">
        <v>147</v>
      </c>
      <c r="E15" s="4" t="n">
        <v>2</v>
      </c>
    </row>
    <row r="16" customFormat="false" ht="36" hidden="false" customHeight="true" outlineLevel="0" collapsed="false">
      <c r="A16" s="15" t="s">
        <v>143</v>
      </c>
      <c r="B16" s="7" t="s">
        <v>119</v>
      </c>
      <c r="C16" s="16" t="s">
        <v>148</v>
      </c>
      <c r="D16" s="16" t="s">
        <v>149</v>
      </c>
      <c r="E16" s="7" t="n">
        <v>3</v>
      </c>
    </row>
    <row r="17" customFormat="false" ht="36" hidden="false" customHeight="true" outlineLevel="0" collapsed="false">
      <c r="A17" s="17" t="s">
        <v>143</v>
      </c>
      <c r="B17" s="9" t="s">
        <v>122</v>
      </c>
      <c r="C17" s="18" t="s">
        <v>150</v>
      </c>
      <c r="D17" s="18" t="s">
        <v>151</v>
      </c>
      <c r="E17" s="9" t="n">
        <v>4</v>
      </c>
    </row>
    <row r="18" customFormat="false" ht="36" hidden="false" customHeight="true" outlineLevel="0" collapsed="false">
      <c r="A18" s="11" t="s">
        <v>152</v>
      </c>
      <c r="B18" s="8" t="s">
        <v>113</v>
      </c>
      <c r="C18" s="12" t="s">
        <v>153</v>
      </c>
      <c r="D18" s="12" t="s">
        <v>154</v>
      </c>
      <c r="E18" s="8" t="n">
        <v>1</v>
      </c>
    </row>
    <row r="19" customFormat="false" ht="36" hidden="false" customHeight="true" outlineLevel="0" collapsed="false">
      <c r="A19" s="13" t="s">
        <v>152</v>
      </c>
      <c r="B19" s="4" t="s">
        <v>116</v>
      </c>
      <c r="C19" s="14" t="s">
        <v>155</v>
      </c>
      <c r="D19" s="14" t="s">
        <v>156</v>
      </c>
      <c r="E19" s="4" t="n">
        <v>2</v>
      </c>
    </row>
    <row r="20" customFormat="false" ht="36" hidden="false" customHeight="true" outlineLevel="0" collapsed="false">
      <c r="A20" s="15" t="s">
        <v>152</v>
      </c>
      <c r="B20" s="7" t="s">
        <v>119</v>
      </c>
      <c r="C20" s="16" t="s">
        <v>157</v>
      </c>
      <c r="D20" s="16" t="s">
        <v>158</v>
      </c>
      <c r="E20" s="7" t="n">
        <v>3</v>
      </c>
    </row>
    <row r="21" customFormat="false" ht="36" hidden="false" customHeight="true" outlineLevel="0" collapsed="false">
      <c r="A21" s="17" t="s">
        <v>152</v>
      </c>
      <c r="B21" s="9" t="s">
        <v>122</v>
      </c>
      <c r="C21" s="18" t="s">
        <v>159</v>
      </c>
      <c r="D21" s="18" t="s">
        <v>160</v>
      </c>
      <c r="E21" s="9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24"/>
  </cols>
  <sheetData>
    <row r="1" customFormat="false" ht="31.5" hidden="false" customHeight="true" outlineLevel="0" collapsed="false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</row>
    <row r="2" customFormat="false" ht="21.75" hidden="false" customHeight="true" outlineLevel="0" collapsed="false">
      <c r="A2" s="19" t="n">
        <v>1</v>
      </c>
      <c r="B2" s="19" t="s">
        <v>83</v>
      </c>
      <c r="C2" s="8" t="n">
        <v>1</v>
      </c>
      <c r="D2" s="20" t="n">
        <f aca="false">C2/SUM($C$2:$C$5)</f>
        <v>0.0333333333333333</v>
      </c>
      <c r="E2" s="8" t="n">
        <v>7</v>
      </c>
      <c r="F2" s="8" t="n">
        <v>18.4</v>
      </c>
      <c r="G2" s="8" t="n">
        <v>41</v>
      </c>
    </row>
    <row r="3" customFormat="false" ht="21.75" hidden="false" customHeight="true" outlineLevel="0" collapsed="false">
      <c r="A3" s="21" t="n">
        <v>2</v>
      </c>
      <c r="B3" s="21" t="s">
        <v>37</v>
      </c>
      <c r="C3" s="4" t="n">
        <v>17</v>
      </c>
      <c r="D3" s="22" t="n">
        <f aca="false">C3/SUM($C$2:$C$5)</f>
        <v>0.566666666666667</v>
      </c>
      <c r="E3" s="4" t="n">
        <v>10.8</v>
      </c>
      <c r="F3" s="4" t="n">
        <v>12.3</v>
      </c>
      <c r="G3" s="4" t="n">
        <v>24.3</v>
      </c>
    </row>
    <row r="4" customFormat="false" ht="21.75" hidden="false" customHeight="true" outlineLevel="0" collapsed="false">
      <c r="A4" s="23" t="n">
        <v>3</v>
      </c>
      <c r="B4" s="23" t="s">
        <v>47</v>
      </c>
      <c r="C4" s="7" t="n">
        <v>11</v>
      </c>
      <c r="D4" s="24" t="n">
        <f aca="false">C4/SUM($C$2:$C$5)</f>
        <v>0.366666666666667</v>
      </c>
      <c r="E4" s="7" t="n">
        <v>14.2</v>
      </c>
      <c r="F4" s="7" t="n">
        <v>14.6</v>
      </c>
      <c r="G4" s="7" t="n">
        <v>22.8</v>
      </c>
    </row>
    <row r="5" customFormat="false" ht="21.75" hidden="false" customHeight="true" outlineLevel="0" collapsed="false">
      <c r="A5" s="25" t="n">
        <v>4</v>
      </c>
      <c r="B5" s="25" t="s">
        <v>102</v>
      </c>
      <c r="C5" s="9" t="n">
        <v>1</v>
      </c>
      <c r="D5" s="26" t="n">
        <f aca="false">C5/SUM($C$2:$C$5)</f>
        <v>0.0333333333333333</v>
      </c>
      <c r="E5" s="9" t="n">
        <v>17</v>
      </c>
      <c r="F5" s="9" t="n">
        <v>12.6</v>
      </c>
      <c r="G5" s="9" t="n">
        <v>20</v>
      </c>
    </row>
    <row r="6" customFormat="false" ht="15" hidden="false" customHeight="false" outlineLevel="0" collapsed="false">
      <c r="A6" s="27" t="s">
        <v>168</v>
      </c>
      <c r="B6" s="28"/>
      <c r="C6" s="27" t="n">
        <f aca="false">SUM(C2:C5)</f>
        <v>30</v>
      </c>
      <c r="D6" s="28"/>
      <c r="E6" s="28"/>
      <c r="F6" s="28"/>
      <c r="G6" s="28"/>
    </row>
    <row r="8" customFormat="false" ht="15" hidden="false" customHeight="false" outlineLevel="0" collapsed="false">
      <c r="A8" s="29" t="s">
        <v>169</v>
      </c>
    </row>
    <row r="9" customFormat="false" ht="15" hidden="false" customHeight="false" outlineLevel="0" collapsed="false">
      <c r="A9" s="30" t="s">
        <v>170</v>
      </c>
      <c r="B9" s="30"/>
      <c r="C9" s="30"/>
      <c r="D9" s="30"/>
      <c r="E9" s="30"/>
      <c r="F9" s="30"/>
      <c r="G9" s="30"/>
    </row>
    <row r="10" customFormat="false" ht="15" hidden="false" customHeight="false" outlineLevel="0" collapsed="false">
      <c r="A10" s="30" t="s">
        <v>171</v>
      </c>
      <c r="B10" s="30"/>
      <c r="C10" s="30"/>
      <c r="D10" s="30"/>
      <c r="E10" s="30"/>
      <c r="F10" s="30"/>
      <c r="G10" s="30"/>
    </row>
    <row r="11" customFormat="false" ht="15" hidden="false" customHeight="false" outlineLevel="0" collapsed="false">
      <c r="A11" s="30" t="s">
        <v>172</v>
      </c>
      <c r="B11" s="30"/>
      <c r="C11" s="30"/>
      <c r="D11" s="30"/>
      <c r="E11" s="30"/>
      <c r="F11" s="30"/>
      <c r="G11" s="30"/>
    </row>
    <row r="12" customFormat="false" ht="15" hidden="false" customHeight="false" outlineLevel="0" collapsed="false">
      <c r="A12" s="30" t="s">
        <v>173</v>
      </c>
      <c r="B12" s="30"/>
      <c r="C12" s="30"/>
      <c r="D12" s="30"/>
      <c r="E12" s="30"/>
      <c r="F12" s="30"/>
      <c r="G12" s="30"/>
    </row>
  </sheetData>
  <mergeCells count="4">
    <mergeCell ref="A9:G9"/>
    <mergeCell ref="A10:G10"/>
    <mergeCell ref="A11:G1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32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0" t="s">
        <v>174</v>
      </c>
      <c r="B1" s="10" t="s">
        <v>175</v>
      </c>
      <c r="C1" s="10" t="s">
        <v>176</v>
      </c>
      <c r="D1" s="10" t="s">
        <v>177</v>
      </c>
      <c r="E1" s="10" t="s">
        <v>178</v>
      </c>
    </row>
    <row r="2" customFormat="false" ht="21.75" hidden="false" customHeight="true" outlineLevel="0" collapsed="false">
      <c r="A2" s="31" t="s">
        <v>0</v>
      </c>
      <c r="B2" s="3" t="s">
        <v>179</v>
      </c>
      <c r="C2" s="3" t="s">
        <v>180</v>
      </c>
      <c r="D2" s="3" t="s">
        <v>181</v>
      </c>
      <c r="E2" s="3" t="s">
        <v>182</v>
      </c>
    </row>
    <row r="3" customFormat="false" ht="21.75" hidden="false" customHeight="true" outlineLevel="0" collapsed="false">
      <c r="A3" s="32" t="s">
        <v>1</v>
      </c>
      <c r="B3" s="6" t="s">
        <v>183</v>
      </c>
      <c r="C3" s="6" t="s">
        <v>184</v>
      </c>
      <c r="D3" s="6" t="s">
        <v>185</v>
      </c>
      <c r="E3" s="6" t="s">
        <v>186</v>
      </c>
    </row>
    <row r="4" customFormat="false" ht="21.75" hidden="false" customHeight="true" outlineLevel="0" collapsed="false">
      <c r="A4" s="31" t="s">
        <v>2</v>
      </c>
      <c r="B4" s="3" t="s">
        <v>187</v>
      </c>
      <c r="C4" s="3" t="s">
        <v>188</v>
      </c>
      <c r="D4" s="3" t="s">
        <v>185</v>
      </c>
      <c r="E4" s="3" t="s">
        <v>186</v>
      </c>
    </row>
    <row r="5" customFormat="false" ht="21.75" hidden="false" customHeight="true" outlineLevel="0" collapsed="false">
      <c r="A5" s="32" t="s">
        <v>3</v>
      </c>
      <c r="B5" s="6" t="s">
        <v>189</v>
      </c>
      <c r="C5" s="6" t="s">
        <v>190</v>
      </c>
      <c r="D5" s="6" t="s">
        <v>191</v>
      </c>
      <c r="E5" s="6" t="s">
        <v>186</v>
      </c>
    </row>
    <row r="6" customFormat="false" ht="21.75" hidden="false" customHeight="true" outlineLevel="0" collapsed="false">
      <c r="A6" s="31" t="s">
        <v>4</v>
      </c>
      <c r="B6" s="3" t="s">
        <v>183</v>
      </c>
      <c r="C6" s="3" t="s">
        <v>192</v>
      </c>
      <c r="D6" s="3" t="s">
        <v>185</v>
      </c>
      <c r="E6" s="3" t="s">
        <v>186</v>
      </c>
    </row>
    <row r="7" customFormat="false" ht="21.75" hidden="false" customHeight="true" outlineLevel="0" collapsed="false">
      <c r="A7" s="32" t="s">
        <v>8</v>
      </c>
      <c r="B7" s="6" t="s">
        <v>193</v>
      </c>
      <c r="C7" s="6" t="s">
        <v>194</v>
      </c>
      <c r="D7" s="6" t="s">
        <v>195</v>
      </c>
      <c r="E7" s="6" t="s">
        <v>186</v>
      </c>
    </row>
    <row r="8" customFormat="false" ht="21.75" hidden="false" customHeight="true" outlineLevel="0" collapsed="false">
      <c r="A8" s="31" t="s">
        <v>9</v>
      </c>
      <c r="B8" s="3" t="s">
        <v>193</v>
      </c>
      <c r="C8" s="3" t="s">
        <v>196</v>
      </c>
      <c r="D8" s="3" t="s">
        <v>195</v>
      </c>
      <c r="E8" s="3" t="s">
        <v>186</v>
      </c>
    </row>
    <row r="9" customFormat="false" ht="21.75" hidden="false" customHeight="true" outlineLevel="0" collapsed="false">
      <c r="A9" s="32" t="s">
        <v>10</v>
      </c>
      <c r="B9" s="6" t="s">
        <v>193</v>
      </c>
      <c r="C9" s="6" t="s">
        <v>196</v>
      </c>
      <c r="D9" s="6" t="s">
        <v>195</v>
      </c>
      <c r="E9" s="6" t="s">
        <v>186</v>
      </c>
    </row>
    <row r="10" customFormat="false" ht="21.75" hidden="false" customHeight="true" outlineLevel="0" collapsed="false">
      <c r="A10" s="31" t="s">
        <v>11</v>
      </c>
      <c r="B10" s="3" t="s">
        <v>193</v>
      </c>
      <c r="C10" s="3" t="s">
        <v>196</v>
      </c>
      <c r="D10" s="3" t="s">
        <v>195</v>
      </c>
      <c r="E10" s="3" t="s">
        <v>186</v>
      </c>
    </row>
    <row r="11" customFormat="false" ht="21.75" hidden="false" customHeight="true" outlineLevel="0" collapsed="false">
      <c r="A11" s="32" t="s">
        <v>12</v>
      </c>
      <c r="B11" s="6" t="s">
        <v>193</v>
      </c>
      <c r="C11" s="6" t="s">
        <v>196</v>
      </c>
      <c r="D11" s="6" t="s">
        <v>195</v>
      </c>
      <c r="E11" s="6" t="s">
        <v>186</v>
      </c>
    </row>
    <row r="12" customFormat="false" ht="21.75" hidden="false" customHeight="true" outlineLevel="0" collapsed="false">
      <c r="A12" s="31" t="s">
        <v>13</v>
      </c>
      <c r="B12" s="3" t="s">
        <v>197</v>
      </c>
      <c r="C12" s="3" t="s">
        <v>198</v>
      </c>
      <c r="D12" s="3" t="s">
        <v>199</v>
      </c>
      <c r="E12" s="3" t="s">
        <v>200</v>
      </c>
    </row>
    <row r="13" customFormat="false" ht="21.75" hidden="false" customHeight="true" outlineLevel="0" collapsed="false">
      <c r="A13" s="32" t="s">
        <v>14</v>
      </c>
      <c r="B13" s="6" t="s">
        <v>193</v>
      </c>
      <c r="C13" s="6" t="s">
        <v>196</v>
      </c>
      <c r="D13" s="6" t="s">
        <v>201</v>
      </c>
      <c r="E13" s="6" t="s">
        <v>186</v>
      </c>
    </row>
    <row r="14" customFormat="false" ht="21.75" hidden="false" customHeight="true" outlineLevel="0" collapsed="false">
      <c r="A14" s="31" t="s">
        <v>15</v>
      </c>
      <c r="B14" s="3" t="s">
        <v>193</v>
      </c>
      <c r="C14" s="3" t="s">
        <v>196</v>
      </c>
      <c r="D14" s="3" t="s">
        <v>201</v>
      </c>
      <c r="E14" s="3" t="s">
        <v>186</v>
      </c>
    </row>
    <row r="15" customFormat="false" ht="21.75" hidden="false" customHeight="true" outlineLevel="0" collapsed="false">
      <c r="A15" s="32" t="s">
        <v>16</v>
      </c>
      <c r="B15" s="6" t="s">
        <v>193</v>
      </c>
      <c r="C15" s="6" t="s">
        <v>196</v>
      </c>
      <c r="D15" s="6" t="s">
        <v>201</v>
      </c>
      <c r="E15" s="6" t="s">
        <v>186</v>
      </c>
    </row>
    <row r="16" customFormat="false" ht="21.75" hidden="false" customHeight="true" outlineLevel="0" collapsed="false">
      <c r="A16" s="33" t="s">
        <v>17</v>
      </c>
      <c r="B16" s="34" t="s">
        <v>193</v>
      </c>
      <c r="C16" s="34" t="s">
        <v>202</v>
      </c>
      <c r="D16" s="34" t="s">
        <v>203</v>
      </c>
      <c r="E16" s="34" t="s">
        <v>204</v>
      </c>
    </row>
    <row r="17" customFormat="false" ht="21.75" hidden="false" customHeight="true" outlineLevel="0" collapsed="false">
      <c r="A17" s="33" t="s">
        <v>18</v>
      </c>
      <c r="B17" s="34" t="s">
        <v>183</v>
      </c>
      <c r="C17" s="34" t="s">
        <v>205</v>
      </c>
      <c r="D17" s="34" t="s">
        <v>203</v>
      </c>
      <c r="E17" s="34" t="s">
        <v>206</v>
      </c>
    </row>
    <row r="18" customFormat="false" ht="21.75" hidden="false" customHeight="true" outlineLevel="0" collapsed="false">
      <c r="A18" s="31" t="s">
        <v>19</v>
      </c>
      <c r="B18" s="3" t="s">
        <v>183</v>
      </c>
      <c r="C18" s="3" t="s">
        <v>207</v>
      </c>
      <c r="D18" s="3" t="s">
        <v>208</v>
      </c>
      <c r="E18" s="3" t="s">
        <v>209</v>
      </c>
    </row>
    <row r="19" customFormat="false" ht="21.75" hidden="false" customHeight="true" outlineLevel="0" collapsed="false">
      <c r="A19" s="32" t="s">
        <v>20</v>
      </c>
      <c r="B19" s="6" t="s">
        <v>210</v>
      </c>
      <c r="C19" s="6" t="s">
        <v>211</v>
      </c>
      <c r="D19" s="6" t="s">
        <v>208</v>
      </c>
      <c r="E19" s="6" t="s">
        <v>209</v>
      </c>
    </row>
    <row r="20" customFormat="false" ht="21.75" hidden="false" customHeight="true" outlineLevel="0" collapsed="false">
      <c r="A20" s="31" t="s">
        <v>21</v>
      </c>
      <c r="B20" s="3" t="s">
        <v>210</v>
      </c>
      <c r="C20" s="3" t="s">
        <v>211</v>
      </c>
      <c r="D20" s="3" t="s">
        <v>212</v>
      </c>
      <c r="E20" s="3" t="s">
        <v>209</v>
      </c>
    </row>
    <row r="21" customFormat="false" ht="21.75" hidden="false" customHeight="true" outlineLevel="0" collapsed="false">
      <c r="A21" s="32" t="s">
        <v>22</v>
      </c>
      <c r="B21" s="6" t="s">
        <v>210</v>
      </c>
      <c r="C21" s="6" t="s">
        <v>211</v>
      </c>
      <c r="D21" s="6" t="s">
        <v>208</v>
      </c>
      <c r="E21" s="6" t="s">
        <v>209</v>
      </c>
    </row>
    <row r="22" customFormat="false" ht="21.75" hidden="false" customHeight="true" outlineLevel="0" collapsed="false">
      <c r="A22" s="31" t="s">
        <v>23</v>
      </c>
      <c r="B22" s="3" t="s">
        <v>183</v>
      </c>
      <c r="C22" s="3" t="s">
        <v>213</v>
      </c>
      <c r="D22" s="3" t="s">
        <v>191</v>
      </c>
      <c r="E22" s="3" t="s">
        <v>209</v>
      </c>
    </row>
    <row r="23" customFormat="false" ht="21.75" hidden="false" customHeight="true" outlineLevel="0" collapsed="false">
      <c r="A23" s="32" t="s">
        <v>24</v>
      </c>
      <c r="B23" s="6" t="s">
        <v>210</v>
      </c>
      <c r="C23" s="6" t="s">
        <v>211</v>
      </c>
      <c r="D23" s="6" t="s">
        <v>208</v>
      </c>
      <c r="E23" s="6" t="s">
        <v>209</v>
      </c>
    </row>
    <row r="24" customFormat="false" ht="21.75" hidden="false" customHeight="true" outlineLevel="0" collapsed="false">
      <c r="A24" s="31" t="s">
        <v>25</v>
      </c>
      <c r="B24" s="3" t="s">
        <v>189</v>
      </c>
      <c r="C24" s="3" t="s">
        <v>214</v>
      </c>
      <c r="D24" s="3" t="s">
        <v>215</v>
      </c>
      <c r="E24" s="3" t="s">
        <v>216</v>
      </c>
    </row>
    <row r="25" customFormat="false" ht="21.75" hidden="false" customHeight="true" outlineLevel="0" collapsed="false">
      <c r="A25" s="32" t="s">
        <v>26</v>
      </c>
      <c r="B25" s="6" t="s">
        <v>197</v>
      </c>
      <c r="C25" s="6" t="s">
        <v>217</v>
      </c>
      <c r="D25" s="6" t="s">
        <v>208</v>
      </c>
      <c r="E25" s="6" t="s">
        <v>216</v>
      </c>
    </row>
    <row r="26" customFormat="false" ht="21.75" hidden="false" customHeight="true" outlineLevel="0" collapsed="false">
      <c r="A26" s="31" t="s">
        <v>27</v>
      </c>
      <c r="B26" s="3" t="s">
        <v>189</v>
      </c>
      <c r="C26" s="3" t="s">
        <v>218</v>
      </c>
      <c r="D26" s="3" t="s">
        <v>219</v>
      </c>
      <c r="E26" s="3" t="s">
        <v>216</v>
      </c>
    </row>
    <row r="27" customFormat="false" ht="21.75" hidden="false" customHeight="true" outlineLevel="0" collapsed="false">
      <c r="A27" s="32" t="s">
        <v>28</v>
      </c>
      <c r="B27" s="6" t="s">
        <v>197</v>
      </c>
      <c r="C27" s="6" t="s">
        <v>220</v>
      </c>
      <c r="D27" s="6" t="s">
        <v>221</v>
      </c>
      <c r="E27" s="6" t="s">
        <v>216</v>
      </c>
    </row>
    <row r="28" customFormat="false" ht="21.75" hidden="false" customHeight="true" outlineLevel="0" collapsed="false">
      <c r="A28" s="31" t="s">
        <v>29</v>
      </c>
      <c r="B28" s="3" t="s">
        <v>189</v>
      </c>
      <c r="C28" s="3" t="s">
        <v>222</v>
      </c>
      <c r="D28" s="3" t="s">
        <v>223</v>
      </c>
      <c r="E28" s="3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2026-03-19T14:40:37Z</dcterms:created>
  <dc:creator>openpyxl</dc:creator>
  <dc:description/>
  <dc:language>en-US</dc:language>
  <cp:lastModifiedBy/>
  <dcterms:modified xsi:type="dcterms:W3CDTF">2026-03-19T14:40:38Z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